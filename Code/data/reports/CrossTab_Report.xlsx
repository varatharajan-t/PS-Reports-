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000000"/>
    </font>
    <font>
      <b val="1"/>
    </font>
  </fonts>
  <fills count="16">
    <fill>
      <patternFill/>
    </fill>
    <fill>
      <patternFill patternType="gray125"/>
    </fill>
    <fill>
      <patternFill patternType="solid">
        <fgColor rgb="00DCE6F1"/>
        <bgColor rgb="00DCE6F1"/>
      </patternFill>
    </fill>
    <fill>
      <patternFill patternType="solid">
        <fgColor rgb="00B0C4DE"/>
        <bgColor rgb="00B0C4DE"/>
      </patternFill>
    </fill>
    <fill>
      <patternFill patternType="solid">
        <fgColor rgb="00EAF1DD"/>
        <bgColor rgb="00EAF1DD"/>
      </patternFill>
    </fill>
    <fill>
      <patternFill patternType="solid">
        <fgColor rgb="00A6CE39"/>
        <bgColor rgb="00A6CE39"/>
      </patternFill>
    </fill>
    <fill>
      <patternFill patternType="solid">
        <fgColor rgb="00FDEDEC"/>
        <bgColor rgb="00FDEDEC"/>
      </patternFill>
    </fill>
    <fill>
      <patternFill patternType="solid">
        <fgColor rgb="00E15B64"/>
        <bgColor rgb="00E15B64"/>
      </patternFill>
    </fill>
    <fill>
      <patternFill patternType="solid">
        <fgColor rgb="00EDE3F1"/>
        <bgColor rgb="00EDE3F1"/>
      </patternFill>
    </fill>
    <fill>
      <patternFill patternType="solid">
        <fgColor rgb="009B6ED2"/>
        <bgColor rgb="009B6ED2"/>
      </patternFill>
    </fill>
    <fill>
      <patternFill patternType="solid">
        <fgColor rgb="00E0F2F1"/>
        <bgColor rgb="00E0F2F1"/>
      </patternFill>
    </fill>
    <fill>
      <patternFill patternType="solid">
        <fgColor rgb="0068C3A3"/>
        <bgColor rgb="0068C3A3"/>
      </patternFill>
    </fill>
    <fill>
      <patternFill patternType="solid">
        <fgColor rgb="00F3E5D8"/>
        <bgColor rgb="00F3E5D8"/>
      </patternFill>
    </fill>
    <fill>
      <patternFill patternType="solid">
        <fgColor rgb="00C69C6D"/>
        <bgColor rgb="00C69C6D"/>
      </patternFill>
    </fill>
    <fill>
      <patternFill patternType="solid">
        <fgColor rgb="00EAEAEA"/>
        <bgColor rgb="00EAEAEA"/>
      </patternFill>
    </fill>
    <fill>
      <patternFill patternType="solid">
        <fgColor rgb="00D1D3D4"/>
        <bgColor rgb="00D1D3D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  <xf numFmtId="0" fontId="2" fillId="4" borderId="1" applyAlignment="1" pivotButton="0" quotePrefix="0" xfId="0">
      <alignment horizontal="center" vertical="top"/>
    </xf>
    <xf numFmtId="0" fontId="2" fillId="6" borderId="1" applyAlignment="1" pivotButton="0" quotePrefix="0" xfId="0">
      <alignment horizontal="center" vertical="top"/>
    </xf>
    <xf numFmtId="0" fontId="2" fillId="8" borderId="1" applyAlignment="1" pivotButton="0" quotePrefix="0" xfId="0">
      <alignment horizontal="center" vertical="top"/>
    </xf>
    <xf numFmtId="0" fontId="2" fillId="10" borderId="1" applyAlignment="1" pivotButton="0" quotePrefix="0" xfId="0">
      <alignment horizontal="center" vertical="top"/>
    </xf>
    <xf numFmtId="0" fontId="2" fillId="12" borderId="1" applyAlignment="1" pivotButton="0" quotePrefix="0" xfId="0">
      <alignment horizontal="center" vertical="top"/>
    </xf>
    <xf numFmtId="0" fontId="2" fillId="14" borderId="0" pivotButton="0" quotePrefix="0" xfId="0"/>
    <xf numFmtId="0" fontId="1" fillId="3" borderId="1" applyAlignment="1" pivotButton="0" quotePrefix="0" xfId="0">
      <alignment horizontal="center" vertical="top"/>
    </xf>
    <xf numFmtId="0" fontId="0" fillId="5" borderId="0" pivotButton="0" quotePrefix="0" xfId="0"/>
    <xf numFmtId="0" fontId="0" fillId="7" borderId="0" pivotButton="0" quotePrefix="0" xfId="0"/>
    <xf numFmtId="0" fontId="0" fillId="9" borderId="0" pivotButton="0" quotePrefix="0" xfId="0"/>
    <xf numFmtId="0" fontId="0" fillId="11" borderId="0" pivotButton="0" quotePrefix="0" xfId="0"/>
    <xf numFmtId="0" fontId="0" fillId="13" borderId="0" pivotButton="0" quotePrefix="0" xfId="0"/>
    <xf numFmtId="0" fontId="0" fillId="15" borderId="0" pivotButton="0" quotePrefix="0" xfId="0"/>
    <xf numFmtId="0" fontId="3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34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Project Type Vs No of Projects</a:t>
            </a:r>
          </a:p>
        </rich>
      </tx>
    </title>
    <view3D>
      <rotX val="15"/>
      <rotY val="20"/>
      <rAngAx val="1"/>
    </view3D>
    <floor/>
    <sideWall/>
    <backWall/>
    <plotArea>
      <bar3D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Lbls>
            <showVal val="1"/>
            <showCatName val="0"/>
            <showSerName val="0"/>
          </dLbls>
          <cat>
            <numRef>
              <f>'Sheet1'!$A$11:$A$16</f>
            </numRef>
          </cat>
          <val>
            <numRef>
              <f>'Sheet1'!$B$11:$B$16</f>
            </numRef>
          </val>
        </ser>
        <gapWidth val="150"/>
        <gapDepth val="150"/>
        <axId val="10"/>
        <axId val="100"/>
        <axId val="1000"/>
      </bar3D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0" sourceLinked="0"/>
        <majorTickMark val="none"/>
        <minorTickMark val="none"/>
        <tickLblPos val="nextTo"/>
        <crossAx val="10"/>
      </valAx>
      <serAx>
        <axId val="1000"/>
        <scaling>
          <orientation val="minMax"/>
        </scaling>
        <axPos val="l"/>
        <majorTickMark val="none"/>
        <minorTickMark val="none"/>
        <crossAx val="10"/>
      </ser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8</col>
      <colOff>0</colOff>
      <row>2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tabSelected="1" workbookViewId="0">
      <selection activeCell="A1" sqref="A1"/>
    </sheetView>
  </sheetViews>
  <sheetFormatPr baseColWidth="8" defaultRowHeight="15"/>
  <cols>
    <col width="15" customWidth="1" min="1" max="1"/>
  </cols>
  <sheetData>
    <row r="1">
      <c r="A1" s="2" t="inlineStr">
        <is>
          <t>Project Type</t>
        </is>
      </c>
      <c r="B1" s="3" t="inlineStr">
        <is>
          <t>NIRL</t>
        </is>
      </c>
      <c r="C1" s="4" t="inlineStr">
        <is>
          <t>NLCIL</t>
        </is>
      </c>
      <c r="D1" s="5" t="inlineStr">
        <is>
          <t>NTPL</t>
        </is>
      </c>
      <c r="E1" s="6" t="inlineStr">
        <is>
          <t>NUPPL</t>
        </is>
      </c>
      <c r="F1" s="7" t="inlineStr">
        <is>
          <t>Total</t>
        </is>
      </c>
      <c r="G1" s="8" t="n"/>
    </row>
    <row r="2">
      <c r="A2" s="9" t="inlineStr">
        <is>
          <t>Capex</t>
        </is>
      </c>
      <c r="B2" s="10" t="n">
        <v>6</v>
      </c>
      <c r="C2" s="11" t="n">
        <v>33</v>
      </c>
      <c r="D2" s="12" t="n">
        <v>2</v>
      </c>
      <c r="E2" s="13" t="n">
        <v>4</v>
      </c>
      <c r="F2" s="14" t="n">
        <v>45</v>
      </c>
      <c r="G2" s="15" t="n"/>
    </row>
    <row r="3">
      <c r="A3" s="9" t="inlineStr">
        <is>
          <t>Feasibility</t>
        </is>
      </c>
      <c r="B3" s="10" t="n">
        <v>0</v>
      </c>
      <c r="C3" s="11" t="n">
        <v>6</v>
      </c>
      <c r="D3" s="12" t="n">
        <v>0</v>
      </c>
      <c r="E3" s="13" t="n">
        <v>1</v>
      </c>
      <c r="F3" s="14" t="n">
        <v>7</v>
      </c>
      <c r="G3" s="15" t="n"/>
    </row>
    <row r="4">
      <c r="A4" s="9" t="inlineStr">
        <is>
          <t>Material</t>
        </is>
      </c>
      <c r="B4" s="10" t="n">
        <v>0</v>
      </c>
      <c r="C4" s="11" t="n">
        <v>10</v>
      </c>
      <c r="D4" s="12" t="n">
        <v>1</v>
      </c>
      <c r="E4" s="13" t="n">
        <v>0</v>
      </c>
      <c r="F4" s="14" t="n">
        <v>11</v>
      </c>
      <c r="G4" s="15" t="n"/>
    </row>
    <row r="5">
      <c r="A5" s="9" t="inlineStr">
        <is>
          <t>Non-Plan</t>
        </is>
      </c>
      <c r="B5" s="10" t="n">
        <v>0</v>
      </c>
      <c r="C5" s="11" t="n">
        <v>50</v>
      </c>
      <c r="D5" s="12" t="n">
        <v>5</v>
      </c>
      <c r="E5" s="13" t="n">
        <v>1</v>
      </c>
      <c r="F5" s="14" t="n">
        <v>56</v>
      </c>
      <c r="G5" s="15" t="n"/>
    </row>
    <row r="6">
      <c r="A6" s="9" t="inlineStr">
        <is>
          <t>Opex</t>
        </is>
      </c>
      <c r="B6" s="10" t="n">
        <v>0</v>
      </c>
      <c r="C6" s="11" t="n">
        <v>1</v>
      </c>
      <c r="D6" s="12" t="n">
        <v>1</v>
      </c>
      <c r="E6" s="13" t="n">
        <v>0</v>
      </c>
      <c r="F6" s="14" t="n">
        <v>2</v>
      </c>
      <c r="G6" s="15" t="n"/>
    </row>
    <row r="7">
      <c r="A7" s="9" t="inlineStr">
        <is>
          <t>Service</t>
        </is>
      </c>
      <c r="B7" s="10" t="n">
        <v>0</v>
      </c>
      <c r="C7" s="11" t="n">
        <v>305</v>
      </c>
      <c r="D7" s="12" t="n">
        <v>1</v>
      </c>
      <c r="E7" s="13" t="n">
        <v>0</v>
      </c>
      <c r="F7" s="14" t="n">
        <v>306</v>
      </c>
      <c r="G7" s="15" t="n"/>
    </row>
    <row r="8">
      <c r="A8" s="9" t="inlineStr">
        <is>
          <t>Total</t>
        </is>
      </c>
      <c r="B8" s="10" t="n">
        <v>6</v>
      </c>
      <c r="C8" s="11" t="n">
        <v>405</v>
      </c>
      <c r="D8" s="12" t="n">
        <v>10</v>
      </c>
      <c r="E8" s="13" t="n">
        <v>6</v>
      </c>
      <c r="F8" s="14" t="n">
        <v>427</v>
      </c>
      <c r="G8" s="15" t="n"/>
    </row>
    <row r="10">
      <c r="A10" s="16" t="inlineStr">
        <is>
          <t>Select Company</t>
        </is>
      </c>
      <c r="B10" s="16" t="inlineStr">
        <is>
          <t>No. of Projects</t>
        </is>
      </c>
    </row>
    <row r="11">
      <c r="A11">
        <f>A2</f>
        <v/>
      </c>
      <c r="B11">
        <f>INDEX($B$2:$F$7, ROW()-10, MATCH($A$10, $B$1:$F$1, 0))</f>
        <v/>
      </c>
    </row>
    <row r="12">
      <c r="A12">
        <f>A3</f>
        <v/>
      </c>
      <c r="B12">
        <f>INDEX($B$2:$F$7, ROW()-10, MATCH($A$10, $B$1:$F$1, 0))</f>
        <v/>
      </c>
    </row>
    <row r="13">
      <c r="A13">
        <f>A4</f>
        <v/>
      </c>
      <c r="B13">
        <f>INDEX($B$2:$F$7, ROW()-10, MATCH($A$10, $B$1:$F$1, 0))</f>
        <v/>
      </c>
    </row>
    <row r="14">
      <c r="A14">
        <f>A5</f>
        <v/>
      </c>
      <c r="B14">
        <f>INDEX($B$2:$F$7, ROW()-10, MATCH($A$10, $B$1:$F$1, 0))</f>
        <v/>
      </c>
    </row>
    <row r="15">
      <c r="A15">
        <f>A6</f>
        <v/>
      </c>
      <c r="B15">
        <f>INDEX($B$2:$F$7, ROW()-10, MATCH($A$10, $B$1:$F$1, 0))</f>
        <v/>
      </c>
    </row>
    <row r="16">
      <c r="A16">
        <f>A7</f>
        <v/>
      </c>
      <c r="B16">
        <f>INDEX($B$2:$F$7, ROW()-10, MATCH($A$10, $B$1:$F$1, 0))</f>
        <v/>
      </c>
    </row>
  </sheetData>
  <dataValidations count="1">
    <dataValidation sqref="A10" showDropDown="0" showInputMessage="0" showErrorMessage="0" allowBlank="0" promptTitle="Company List" prompt="Please select a company from the list" type="list">
      <formula1>B1:F1</formula1>
    </dataValidation>
  </dataValidation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2026-04-18T11:49:06Z</dcterms:created>
  <dcterms:modified xmlns:dcterms="http://purl.org/dc/terms/" xmlns:xsi="http://www.w3.org/2001/XMLSchema-instance" xsi:type="dcterms:W3CDTF">2026-04-18T11:49:06Z</dcterms:modified>
</cp:coreProperties>
</file>