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S-Reports\Output\"/>
    </mc:Choice>
  </mc:AlternateContent>
  <xr:revisionPtr revIDLastSave="0" documentId="13_ncr:1_{6C7A3C9F-BCFF-4BB2-A49B-58B8834E88E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Budget" sheetId="1" r:id="rId1"/>
    <sheet name="Actual" sheetId="2" r:id="rId2"/>
    <sheet name="Data" sheetId="3" state="hidden" r:id="rId3"/>
    <sheet name="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4" l="1" a="1"/>
  <c r="D1" i="4"/>
  <c r="H1" i="4" a="1"/>
  <c r="H1" i="4" s="1"/>
  <c r="G1" i="4" a="1"/>
  <c r="G1" i="4" s="1"/>
  <c r="F1" i="4" a="1"/>
  <c r="F1" i="4" s="1"/>
  <c r="E1" i="4"/>
  <c r="E1" i="4" a="1"/>
  <c r="D4" i="4" a="1"/>
  <c r="D4" i="4" s="1"/>
  <c r="A420" i="1"/>
  <c r="A421" i="1"/>
  <c r="A422" i="1"/>
  <c r="A423" i="1"/>
  <c r="A424" i="1"/>
  <c r="A425" i="1"/>
  <c r="A426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3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3" i="1"/>
  <c r="AS2" i="1"/>
  <c r="AR2" i="1"/>
  <c r="AQ2" i="1"/>
  <c r="AP2" i="1"/>
  <c r="AO2" i="1"/>
  <c r="AN2" i="1"/>
  <c r="AM1" i="1"/>
  <c r="C2" i="4"/>
  <c r="C1" i="4"/>
  <c r="C4" i="4" s="1" a="1"/>
  <c r="C4" i="4" s="1"/>
  <c r="F4" i="4" l="1" a="1"/>
  <c r="F4" i="4" s="1"/>
  <c r="G4" i="4" a="1"/>
  <c r="G4" i="4" s="1"/>
  <c r="H4" i="4" a="1"/>
  <c r="H4" i="4" s="1"/>
  <c r="E4" i="4" a="1"/>
  <c r="E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<sst xmlns="http://schemas.openxmlformats.org/spreadsheetml/2006/main" count="3470" uniqueCount="1544">
  <si>
    <t>Total of years</t>
  </si>
  <si>
    <t>Previous years</t>
  </si>
  <si>
    <t>2024</t>
  </si>
  <si>
    <t>2025</t>
  </si>
  <si>
    <t>2026</t>
  </si>
  <si>
    <t>2027 and Following</t>
  </si>
  <si>
    <t>Overall values</t>
  </si>
  <si>
    <t>ProjectName</t>
  </si>
  <si>
    <t>ProjectID</t>
  </si>
  <si>
    <t>Object</t>
  </si>
  <si>
    <t>Budget</t>
  </si>
  <si>
    <t>Actual</t>
  </si>
  <si>
    <t>Commitment</t>
  </si>
  <si>
    <t>Assigned</t>
  </si>
  <si>
    <t>Available</t>
  </si>
  <si>
    <t>6*  600 MW Solar @ GSECL PRJ NG-C-SOL-001</t>
  </si>
  <si>
    <t>600 MW Solar @ GSECL</t>
  </si>
  <si>
    <t>NG-C-SOL-001</t>
  </si>
  <si>
    <t>6*  300 MW Solar Power P PRJ NL-C-BSP-001</t>
  </si>
  <si>
    <t>300 MW Solar Power P</t>
  </si>
  <si>
    <t>NL-C-BSP-001</t>
  </si>
  <si>
    <t>6*  CARD R&amp;D Project     PRJ NL-C-CRD-001</t>
  </si>
  <si>
    <t>CARD R&amp;D Project</t>
  </si>
  <si>
    <t>NL-C-CRD-001</t>
  </si>
  <si>
    <t>6*  Lignite to disel cap PRJ NL-C-CRD-002</t>
  </si>
  <si>
    <t>Lignite to disel cap</t>
  </si>
  <si>
    <t>NL-C-CRD-002</t>
  </si>
  <si>
    <t>6*  CARD-IITM-Developmen PRJ NL-C-CRD-003</t>
  </si>
  <si>
    <t>CARD-IITM-Developmen</t>
  </si>
  <si>
    <t>NL-C-CRD-003</t>
  </si>
  <si>
    <t>6*  CAPEX PROJECT FOR CA PRJ NL-C-CRD-004</t>
  </si>
  <si>
    <t>CAPEX PROJECT FOR CA</t>
  </si>
  <si>
    <t>NL-C-CRD-004</t>
  </si>
  <si>
    <t>6*  Khavda Solar Power P PRJ NL-C-KSP-001</t>
  </si>
  <si>
    <t>Khavda Solar Power P</t>
  </si>
  <si>
    <t>NL-C-KSP-001</t>
  </si>
  <si>
    <t>6*  Land Acquisiton Plan PRJ NL-C-LAQ-001</t>
  </si>
  <si>
    <t>Land Acquisiton Plan</t>
  </si>
  <si>
    <t>NL-C-LAQ-001</t>
  </si>
  <si>
    <t>6*  EXPANSION OF MINE-IA PRJ NL-C-MIA-001</t>
  </si>
  <si>
    <t>EXPANSION OF MINE-IA</t>
  </si>
  <si>
    <t>NL-C-MIA-001</t>
  </si>
  <si>
    <t>6*  Mine 1 Capex Project PRJ NL-C-MN1-001</t>
  </si>
  <si>
    <t>Mine 1 Capex Project</t>
  </si>
  <si>
    <t>NL-C-MN1-001</t>
  </si>
  <si>
    <t>6*  Mines III Capex Proj PRJ NL-C-MN3-001</t>
  </si>
  <si>
    <t>Mines III Capex Proj</t>
  </si>
  <si>
    <t>NL-C-MN3-001</t>
  </si>
  <si>
    <t>6*  Talabira II &amp; III OC PRJ NL-C-MTL-001</t>
  </si>
  <si>
    <t>Talabira II &amp; III OC</t>
  </si>
  <si>
    <t>NL-C-MTL-001</t>
  </si>
  <si>
    <t>6*  Talabira II &amp; III OC PRJ NL-C-MTL-002</t>
  </si>
  <si>
    <t>NL-C-MTL-002</t>
  </si>
  <si>
    <t>6*  NNTPP CAPEX PROJECT  PRJ NL-C-NNT-001</t>
  </si>
  <si>
    <t>NNTPP CAPEX PROJECT</t>
  </si>
  <si>
    <t>NL-C-NNT-001</t>
  </si>
  <si>
    <t>6*  NNTPP Flue Gas Desul PRJ NL-C-NNT-002</t>
  </si>
  <si>
    <t>NNTPP Flue Gas Desul</t>
  </si>
  <si>
    <t>NL-C-NNT-002</t>
  </si>
  <si>
    <t>6*  New Patrapara South  PRJ NL-C-NPS-001</t>
  </si>
  <si>
    <t>New Patrapara South</t>
  </si>
  <si>
    <t>NL-C-NPS-001</t>
  </si>
  <si>
    <t>6*  IREDA-CPSU Scheme Ph PRJ NL-C-PBD-001</t>
  </si>
  <si>
    <t>IREDA-CPSU Scheme Ph</t>
  </si>
  <si>
    <t>NL-C-PBD-001</t>
  </si>
  <si>
    <t>6*  Neyveli 2x65 MW Sola PRJ NL-C-PBD-002</t>
  </si>
  <si>
    <t>Neyveli 2x65 MW Sola</t>
  </si>
  <si>
    <t>NL-C-PBD-002</t>
  </si>
  <si>
    <t>6*  Solar 10 MW Power Pr PRJ NL-C-SOL-001</t>
  </si>
  <si>
    <t>Solar 10 MW Power Pr</t>
  </si>
  <si>
    <t>NL-C-SOL-001</t>
  </si>
  <si>
    <t>6*  Solar 50 MW in Mine  PRJ NL-C-SOL-002</t>
  </si>
  <si>
    <t>Solar 50 MW in Mine</t>
  </si>
  <si>
    <t>NL-C-SOL-002</t>
  </si>
  <si>
    <t>6*  200 MW Solar Power G PRJ NL-C-SOL-003</t>
  </si>
  <si>
    <t>200 MW Solar Power G</t>
  </si>
  <si>
    <t>NL-C-SOL-003</t>
  </si>
  <si>
    <t>6*  100 MW SOLAR (HYBRID PRJ NL-C-SOL-004</t>
  </si>
  <si>
    <t>100 MW SOLAR (HYBRID</t>
  </si>
  <si>
    <t>NL-C-SOL-004</t>
  </si>
  <si>
    <t>6*  TPS2 Second Expansio PRJ NL-C-T22-001</t>
  </si>
  <si>
    <t>TPS2 Second Expansio</t>
  </si>
  <si>
    <t>NL-C-T22-001</t>
  </si>
  <si>
    <t>6*  Performance Improvem PRJ NL-C-T2E-001</t>
  </si>
  <si>
    <t>Performance Improvem</t>
  </si>
  <si>
    <t>NL-C-T2E-001</t>
  </si>
  <si>
    <t>6*  Mini Smart City      PRJ NL-C-TAA-001</t>
  </si>
  <si>
    <t>Mini Smart City</t>
  </si>
  <si>
    <t>NL-C-TAA-001</t>
  </si>
  <si>
    <t>6*  NLC Talabira Thermal PRJ NL-C-TPP-001</t>
  </si>
  <si>
    <t>NLC Talabira Thermal</t>
  </si>
  <si>
    <t>NL-C-TPP-001</t>
  </si>
  <si>
    <t>6*  NLC TTPP Main Packag PRJ NL-C-TPP-002</t>
  </si>
  <si>
    <t>NLC TTPP Main Packag</t>
  </si>
  <si>
    <t>NL-C-TPP-002</t>
  </si>
  <si>
    <t>6*  TS I Switchyard Modi PRJ NL-C-TS1-001</t>
  </si>
  <si>
    <t>TS I Switchyard Modi</t>
  </si>
  <si>
    <t>NL-C-TS1-001</t>
  </si>
  <si>
    <t>6*  Wind Turbine Project PRJ NL-C-WND-001</t>
  </si>
  <si>
    <t>Wind Turbine Project</t>
  </si>
  <si>
    <t>NL-C-WND-001</t>
  </si>
  <si>
    <t>6*  50 MW Wind Project   PRJ NL-C-WND-002</t>
  </si>
  <si>
    <t>50 MW Wind Project</t>
  </si>
  <si>
    <t>NL-C-WND-002</t>
  </si>
  <si>
    <t>6*  MACHHAKATA (REVISED) PRJ NL-F-MAC-001</t>
  </si>
  <si>
    <t>MACHHAKATA (REVISED)</t>
  </si>
  <si>
    <t>NL-F-MAC-001</t>
  </si>
  <si>
    <t>6*  North Dhadu (Western PRJ NL-F-NDM-001</t>
  </si>
  <si>
    <t>North Dhadu (Western</t>
  </si>
  <si>
    <t>NL-F-NDM-001</t>
  </si>
  <si>
    <t>6*  Barsingsar Mines Cap PRJ NL-M-BMN-001</t>
  </si>
  <si>
    <t>Barsingsar Mines Cap</t>
  </si>
  <si>
    <t>NL-M-BMN-001</t>
  </si>
  <si>
    <t>6*  Mine 1A Capital Mate PRJ NL-M-M1A-001</t>
  </si>
  <si>
    <t>Mine 1A Capital Mate</t>
  </si>
  <si>
    <t>NL-M-M1A-001</t>
  </si>
  <si>
    <t>6*  Mech. Services Capit PRJ NL-M-MES-001</t>
  </si>
  <si>
    <t>Mech. Services Capit</t>
  </si>
  <si>
    <t>NL-M-MES-001</t>
  </si>
  <si>
    <t>6*  Mine 1 Capital Mater PRJ NL-M-MN1-001</t>
  </si>
  <si>
    <t>Mine 1 Capital Mater</t>
  </si>
  <si>
    <t>NL-M-MN1-001</t>
  </si>
  <si>
    <t>6*  Mine 2 Capital Mater PRJ NL-M-MN2-001</t>
  </si>
  <si>
    <t>Mine 2 Capital Mater</t>
  </si>
  <si>
    <t>NL-M-MN2-001</t>
  </si>
  <si>
    <t>6*  NNTP Capital Materia PRJ NL-M-NNT-001</t>
  </si>
  <si>
    <t>NNTP Capital Materia</t>
  </si>
  <si>
    <t>NL-M-NNT-001</t>
  </si>
  <si>
    <t>6*  PRO Material Project PRJ NL-M-PRO-001</t>
  </si>
  <si>
    <t>PRO Material Project</t>
  </si>
  <si>
    <t>NL-M-PRO-001</t>
  </si>
  <si>
    <t>6*  Safety Capital Mater PRJ NL-M-SFT-001</t>
  </si>
  <si>
    <t>Safety Capital Mater</t>
  </si>
  <si>
    <t>NL-M-SFT-001</t>
  </si>
  <si>
    <t>6*  TPS 1 Exp. Capital M PRJ NL-M-T1E-001</t>
  </si>
  <si>
    <t>TPS 1 Exp. Capital M</t>
  </si>
  <si>
    <t>NL-M-T1E-001</t>
  </si>
  <si>
    <t>6*  TPS2Exp - Capital Ma PRJ NL-M-T2E-001</t>
  </si>
  <si>
    <t>TPS2Exp - Capital Ma</t>
  </si>
  <si>
    <t>NL-M-T2E-001</t>
  </si>
  <si>
    <t>6*  Barsingsar Thermal N PRJ NL-N-BSP-001-01</t>
  </si>
  <si>
    <t>Barsingsar Thermal N</t>
  </si>
  <si>
    <t>NL-N-BSP-001-01</t>
  </si>
  <si>
    <t>6*  Central Establishmen PRJ NL-N-CES-001</t>
  </si>
  <si>
    <t>Central Establishmen</t>
  </si>
  <si>
    <t>NL-N-CES-001</t>
  </si>
  <si>
    <t>6*  Manager Corporate Of PRJ NL-N-CES-002</t>
  </si>
  <si>
    <t>Manager Corporate Of</t>
  </si>
  <si>
    <t>NL-N-CES-002</t>
  </si>
  <si>
    <t>6*  CISF Non-Plan CapEx  PRJ NL-N-CIS-001</t>
  </si>
  <si>
    <t>CISF Non-Plan CapEx</t>
  </si>
  <si>
    <t>NL-N-CIS-001</t>
  </si>
  <si>
    <t>6*  Computer Services No PRJ NL-N-COM-001</t>
  </si>
  <si>
    <t>Computer Services No</t>
  </si>
  <si>
    <t>NL-N-COM-001</t>
  </si>
  <si>
    <t>6*  Corporate Contracts  PRJ NL-N-CON-001</t>
  </si>
  <si>
    <t>Corporate Contracts</t>
  </si>
  <si>
    <t>NL-N-CON-001</t>
  </si>
  <si>
    <t>6*  CARD/ Disposal/ MM N PRJ NL-N-CRD-001</t>
  </si>
  <si>
    <t>CARD/ Disposal/ MM N</t>
  </si>
  <si>
    <t>NL-N-CRD-001</t>
  </si>
  <si>
    <t>6*  Central Workshop Non PRJ NL-N-CWS-001</t>
  </si>
  <si>
    <t>Central Workshop Non</t>
  </si>
  <si>
    <t>NL-N-CWS-001</t>
  </si>
  <si>
    <t>6*  Education Non-Plan C PRJ NL-N-EDU-001</t>
  </si>
  <si>
    <t>Education Non-Plan C</t>
  </si>
  <si>
    <t>NL-N-EDU-001</t>
  </si>
  <si>
    <t>6*  Electrical &amp;Communic PRJ NL-N-ENC-001</t>
  </si>
  <si>
    <t>Electrical &amp;Communic</t>
  </si>
  <si>
    <t>NL-N-ENC-001</t>
  </si>
  <si>
    <t>6*  Corporate Finance No PRJ NL-N-FIN-001</t>
  </si>
  <si>
    <t>Corporate Finance No</t>
  </si>
  <si>
    <t>NL-N-FIN-001</t>
  </si>
  <si>
    <t>6*  Geology Non Plan CAP PRJ NL-N-GEO-001</t>
  </si>
  <si>
    <t>Geology Non Plan CAP</t>
  </si>
  <si>
    <t>NL-N-GEO-001</t>
  </si>
  <si>
    <t>6*  GH Non Plan CAPEX 20 PRJ NL-N-GHO-001</t>
  </si>
  <si>
    <t>GH Non Plan CAPEX 20</t>
  </si>
  <si>
    <t>NL-N-GHO-001</t>
  </si>
  <si>
    <t>6*  GH Non Plan Capex 20 PRJ NL-N-GHO-002</t>
  </si>
  <si>
    <t>GH Non Plan Capex 20</t>
  </si>
  <si>
    <t>NL-N-GHO-002</t>
  </si>
  <si>
    <t>6*  IE Wing Non Plan Cap PRJ NL-N-IEC-001</t>
  </si>
  <si>
    <t>IE Wing Non Plan Cap</t>
  </si>
  <si>
    <t>NL-N-IEC-001</t>
  </si>
  <si>
    <t>6*  Land Acquisition Non PRJ NL-N-LAQ-001</t>
  </si>
  <si>
    <t>Land Acquisition Non</t>
  </si>
  <si>
    <t>NL-N-LAQ-001</t>
  </si>
  <si>
    <t>6*  Learning and Develop PRJ NL-N-LDC-001</t>
  </si>
  <si>
    <t>Learning and Develop</t>
  </si>
  <si>
    <t>NL-N-LDC-001</t>
  </si>
  <si>
    <t>6*  MINE- IA Non Plan CA PRJ NL-N-M1A-001</t>
  </si>
  <si>
    <t>MINE- IA Non Plan CA</t>
  </si>
  <si>
    <t>NL-N-M1A-001</t>
  </si>
  <si>
    <t>6*  Barsingsar- Mines No PRJ NL-N-MBR-001</t>
  </si>
  <si>
    <t>Barsingsar- Mines No</t>
  </si>
  <si>
    <t>NL-N-MBR-001</t>
  </si>
  <si>
    <t>6*  MCO Non-Plan CapEx   PRJ NL-N-MCO-001</t>
  </si>
  <si>
    <t>MCO Non-Plan CapEx</t>
  </si>
  <si>
    <t>NL-N-MCO-001</t>
  </si>
  <si>
    <t>6*  Mechanical Services  PRJ NL-N-MES-001</t>
  </si>
  <si>
    <t>Mechanical Services</t>
  </si>
  <si>
    <t>NL-N-MES-001</t>
  </si>
  <si>
    <t>6*  Management Services  PRJ NL-N-MIS-001</t>
  </si>
  <si>
    <t>Management Services</t>
  </si>
  <si>
    <t>NL-N-MIS-001</t>
  </si>
  <si>
    <t>6*  MMC Non-Plan CAPEX 2 PRJ NL-N-MMC-001</t>
  </si>
  <si>
    <t>MMC Non-Plan CAPEX 2</t>
  </si>
  <si>
    <t>NL-N-MMC-001</t>
  </si>
  <si>
    <t>6*  MINE- I Non Plan CAP PRJ NL-N-MN1-001</t>
  </si>
  <si>
    <t>MINE- I Non Plan CAP</t>
  </si>
  <si>
    <t>NL-N-MN1-001</t>
  </si>
  <si>
    <t>6*  MINE- II Non Plan CA PRJ NL-N-MN2-001</t>
  </si>
  <si>
    <t>MINE- II Non Plan CA</t>
  </si>
  <si>
    <t>NL-N-MN2-001</t>
  </si>
  <si>
    <t>6*  NNTPP Non Plan CAPEX PRJ NL-N-NNT-001</t>
  </si>
  <si>
    <t>NNTPP Non Plan CAPEX</t>
  </si>
  <si>
    <t>NL-N-NNT-001</t>
  </si>
  <si>
    <t>6*  OSMG Non Plan CAPEX  PRJ NL-N-OSM-001</t>
  </si>
  <si>
    <t>OSMG Non Plan CAPEX</t>
  </si>
  <si>
    <t>NL-N-OSM-001</t>
  </si>
  <si>
    <t>6*  P &amp; BD Non-Plan CapE PRJ NL-N-PBD-001</t>
  </si>
  <si>
    <t>P &amp; BD Non-Plan CapE</t>
  </si>
  <si>
    <t>NL-N-PBD-001</t>
  </si>
  <si>
    <t>6*  PRO Non-Plan CapEx   PRJ NL-N-PRO-001</t>
  </si>
  <si>
    <t>PRO Non-Plan CapEx</t>
  </si>
  <si>
    <t>NL-N-PRO-001</t>
  </si>
  <si>
    <t>6*  Power Station Engg.  PRJ NL-N-PSE-001</t>
  </si>
  <si>
    <t>Power Station Engg.</t>
  </si>
  <si>
    <t>NL-N-PSE-001</t>
  </si>
  <si>
    <t>6*  Power Station Traini PRJ NL-N-PST-001</t>
  </si>
  <si>
    <t>Power Station Traini</t>
  </si>
  <si>
    <t>NL-N-PST-001</t>
  </si>
  <si>
    <t>6*  Renewable Power Proj PRJ NL-N-REP-001</t>
  </si>
  <si>
    <t>Renewable Power Proj</t>
  </si>
  <si>
    <t>NL-N-REP-001</t>
  </si>
  <si>
    <t>6*  RMO Chennai Non Plan PRJ NL-N-ROC-001</t>
  </si>
  <si>
    <t>RMO Chennai Non Plan</t>
  </si>
  <si>
    <t>NL-N-ROC-001</t>
  </si>
  <si>
    <t>6*  Security and Fire No PRJ NL-N-SEC-001</t>
  </si>
  <si>
    <t>Security and Fire No</t>
  </si>
  <si>
    <t>NL-N-SEC-001</t>
  </si>
  <si>
    <t>6*  Safety Non Plan CAPE PRJ NL-N-SFT-001</t>
  </si>
  <si>
    <t>Safety Non Plan CAPE</t>
  </si>
  <si>
    <t>NL-N-SFT-001</t>
  </si>
  <si>
    <t>6*  10MW Solar Power Pla PRJ NL-N-SOL-001</t>
  </si>
  <si>
    <t>10MW Solar Power Pla</t>
  </si>
  <si>
    <t>NL-N-SOL-001</t>
  </si>
  <si>
    <t>6*  TPS-I Exp Non Plan C PRJ NL-N-T1E-001</t>
  </si>
  <si>
    <t>TPS-I Exp Non Plan C</t>
  </si>
  <si>
    <t>NL-N-T1E-001</t>
  </si>
  <si>
    <t>6*  TPS2Exp - Non Plan C PRJ NL-N-T2E-001</t>
  </si>
  <si>
    <t>TPS2Exp - Non Plan C</t>
  </si>
  <si>
    <t>NL-N-T2E-001</t>
  </si>
  <si>
    <t>6*  TA Non Plan CAPEX    PRJ NL-N-TAA-001</t>
  </si>
  <si>
    <t>TA Non Plan CAPEX</t>
  </si>
  <si>
    <t>NL-N-TAA-001</t>
  </si>
  <si>
    <t>6*  TA Non-Plan CapEx Op PRJ NL-N-TAA-002</t>
  </si>
  <si>
    <t>TA Non-Plan CapEx Op</t>
  </si>
  <si>
    <t>NL-N-TAA-002</t>
  </si>
  <si>
    <t>6*  TA Non-Plan Capital  PRJ NL-N-TAA-003</t>
  </si>
  <si>
    <t>TA Non-Plan Capital</t>
  </si>
  <si>
    <t>NL-N-TAA-003</t>
  </si>
  <si>
    <t>6*  Transport Non Plan C PRJ NL-N-TRN-001</t>
  </si>
  <si>
    <t>Transport Non Plan C</t>
  </si>
  <si>
    <t>NL-N-TRN-001</t>
  </si>
  <si>
    <t>6*  TPS- I Non Plan CAPE PRJ NL-N-TS1-001</t>
  </si>
  <si>
    <t>TPS- I Non Plan CAPE</t>
  </si>
  <si>
    <t>NL-N-TS1-001</t>
  </si>
  <si>
    <t>6*  TPS-II Non Plan CAPE PRJ NL-N-TS2-001</t>
  </si>
  <si>
    <t>TPS-II Non Plan CAPE</t>
  </si>
  <si>
    <t>NL-N-TS2-001</t>
  </si>
  <si>
    <t>6*  TPS-II LEP Stage I &amp; PRJ NL-N-TS2-002</t>
  </si>
  <si>
    <t>TPS-II LEP Stage I &amp;</t>
  </si>
  <si>
    <t>NL-N-TS2-002</t>
  </si>
  <si>
    <t>6*  Vigilance Non-Plan C PRJ NL-N-VIG-001</t>
  </si>
  <si>
    <t>Vigilance Non-Plan C</t>
  </si>
  <si>
    <t>NL-N-VIG-001</t>
  </si>
  <si>
    <t>6*  TS2 Unit 3 Annual Mt PRJ NL-O-TS2-001</t>
  </si>
  <si>
    <t>TS2 Unit 3 Annual Mt</t>
  </si>
  <si>
    <t>NL-O-TS2-001</t>
  </si>
  <si>
    <t>6*  NLC CSR Projects 201 PRJ NL-S-CSR-001</t>
  </si>
  <si>
    <t>NLC CSR Projects 201</t>
  </si>
  <si>
    <t>NL-S-CSR-001</t>
  </si>
  <si>
    <t>6*  CSR Master Project 2 PRJ NL-S-CSR-003</t>
  </si>
  <si>
    <t>CSR Master Project 2</t>
  </si>
  <si>
    <t>NL-S-CSR-003</t>
  </si>
  <si>
    <t>6*  CSR Administrative O PRJ NL-S-CSR-005</t>
  </si>
  <si>
    <t>CSR Administrative O</t>
  </si>
  <si>
    <t>NL-S-CSR-005</t>
  </si>
  <si>
    <t>6*  CSR Activity 1.2 (15 PRJ NL-S-CSR-006</t>
  </si>
  <si>
    <t>CSR Activity 1.2 (15</t>
  </si>
  <si>
    <t>NL-S-CSR-006</t>
  </si>
  <si>
    <t>6*  CSR PBD Proc thro GE PRJ NL-S-CSR-007</t>
  </si>
  <si>
    <t>CSR PBD Proc thro GE</t>
  </si>
  <si>
    <t>NL-S-CSR-007</t>
  </si>
  <si>
    <t>6*  O2 Plants in Tamilna PRJ NL-S-CSR-008</t>
  </si>
  <si>
    <t>O2 Plants in Tamilna</t>
  </si>
  <si>
    <t>NL-S-CSR-008</t>
  </si>
  <si>
    <t>6*  O2 Plants in Karnata PRJ NL-S-CSR-009</t>
  </si>
  <si>
    <t>O2 Plants in Karnata</t>
  </si>
  <si>
    <t>NL-S-CSR-009</t>
  </si>
  <si>
    <t>6*  O2 Plants in Rajasth PRJ NL-S-CSR-010</t>
  </si>
  <si>
    <t>O2 Plants in Rajasth</t>
  </si>
  <si>
    <t>NL-S-CSR-010</t>
  </si>
  <si>
    <t>6*  O2 Plants in Odisha  PRJ NL-S-CSR-011</t>
  </si>
  <si>
    <t>O2 Plants in Odisha</t>
  </si>
  <si>
    <t>NL-S-CSR-011</t>
  </si>
  <si>
    <t>6*  O2 Concentrators in  PRJ NL-S-CSR-012</t>
  </si>
  <si>
    <t>O2 Concentrators in</t>
  </si>
  <si>
    <t>NL-S-CSR-012</t>
  </si>
  <si>
    <t>6*  O2 Concentrators in  PRJ NL-S-CSR-013</t>
  </si>
  <si>
    <t>NL-S-CSR-013</t>
  </si>
  <si>
    <t>6*  O2 Concentrators in  PRJ NL-S-CSR-014</t>
  </si>
  <si>
    <t>NL-S-CSR-014</t>
  </si>
  <si>
    <t>6*  O2 Cylinders &amp; Conce PRJ NL-S-CSR-015</t>
  </si>
  <si>
    <t>O2 Cylinders &amp; Conce</t>
  </si>
  <si>
    <t>NL-S-CSR-015</t>
  </si>
  <si>
    <t>6*  ICU Beds,Ventillator PRJ NL-S-CSR-016</t>
  </si>
  <si>
    <t>ICU Beds,Ventillator</t>
  </si>
  <si>
    <t>NL-S-CSR-016</t>
  </si>
  <si>
    <t>6*  Hired BLS Ambulance  PRJ NL-S-CSR-017</t>
  </si>
  <si>
    <t>Hired BLS Ambulance</t>
  </si>
  <si>
    <t>NL-S-CSR-017</t>
  </si>
  <si>
    <t>6*  Mask,Sanitizer,Soap  PRJ NL-S-CSR-018</t>
  </si>
  <si>
    <t>Mask,Sanitizer,Soap</t>
  </si>
  <si>
    <t>NL-S-CSR-018</t>
  </si>
  <si>
    <t>6*  Sanitizer,Soap Soln  PRJ NL-S-CSR-019</t>
  </si>
  <si>
    <t>Sanitizer,Soap Soln</t>
  </si>
  <si>
    <t>NL-S-CSR-019</t>
  </si>
  <si>
    <t>6*  CC Eqpmt Andaman Nic PRJ NL-S-CSR-020</t>
  </si>
  <si>
    <t>CC Eqpmt Andaman Nic</t>
  </si>
  <si>
    <t>NL-S-CSR-020</t>
  </si>
  <si>
    <t>6*  SERI PPE kits to Cud PRJ NL-S-CSR-021</t>
  </si>
  <si>
    <t>SERI PPE kits to Cud</t>
  </si>
  <si>
    <t>NL-S-CSR-021</t>
  </si>
  <si>
    <t>6*  Santhigiri Ashram- C PRJ NL-S-CSR-022</t>
  </si>
  <si>
    <t>Santhigiri Ashram- C</t>
  </si>
  <si>
    <t>NL-S-CSR-022</t>
  </si>
  <si>
    <t>6*  PPE Kits to GH - Kat PRJ NL-S-CSR-023</t>
  </si>
  <si>
    <t>PPE Kits to GH - Kat</t>
  </si>
  <si>
    <t>NL-S-CSR-023</t>
  </si>
  <si>
    <t>6*  COVID 19 Measures FD PRJ NL-S-CSR-024</t>
  </si>
  <si>
    <t>COVID 19 Measures FD</t>
  </si>
  <si>
    <t>NL-S-CSR-024</t>
  </si>
  <si>
    <t>6*  Covid Care Hospital  PRJ NL-S-CSR-025</t>
  </si>
  <si>
    <t>Covid Care Hospital</t>
  </si>
  <si>
    <t>NL-S-CSR-025</t>
  </si>
  <si>
    <t>6*  HLL Biotech Ltd      PRJ NL-S-CSR-026</t>
  </si>
  <si>
    <t>HLL Biotech Ltd</t>
  </si>
  <si>
    <t>NL-S-CSR-026</t>
  </si>
  <si>
    <t>6*  Medical Camps        PRJ NL-S-CSR-027</t>
  </si>
  <si>
    <t>Medical Camps</t>
  </si>
  <si>
    <t>NL-S-CSR-027</t>
  </si>
  <si>
    <t>6*  Swachhta Packwada ac PRJ NL-S-CSR-028</t>
  </si>
  <si>
    <t>Swachhta Packwada ac</t>
  </si>
  <si>
    <t>NL-S-CSR-028</t>
  </si>
  <si>
    <t>6*  Nutritional Support  PRJ NL-S-CSR-029</t>
  </si>
  <si>
    <t>Nutritional Support</t>
  </si>
  <si>
    <t>NL-S-CSR-029</t>
  </si>
  <si>
    <t>6*  Posak - HIV+ve Socie PRJ NL-S-CSR-030</t>
  </si>
  <si>
    <t>Posak - HIV+ve Socie</t>
  </si>
  <si>
    <t>NL-S-CSR-030</t>
  </si>
  <si>
    <t>6*  Food Supliments to O PRJ NL-S-CSR-031</t>
  </si>
  <si>
    <t>Food Supliments to O</t>
  </si>
  <si>
    <t>NL-S-CSR-031</t>
  </si>
  <si>
    <t>6*  Food Supp. Annai Ter PRJ NL-S-CSR-032</t>
  </si>
  <si>
    <t>Food Supp. Annai Ter</t>
  </si>
  <si>
    <t>NL-S-CSR-032</t>
  </si>
  <si>
    <t>6*  Trauma Care Centre a PRJ NL-S-CSR-033</t>
  </si>
  <si>
    <t>Trauma Care Centre a</t>
  </si>
  <si>
    <t>NL-S-CSR-033</t>
  </si>
  <si>
    <t>6*  TB Sanitorium at Cap PRJ NL-S-CSR-034</t>
  </si>
  <si>
    <t>TB Sanitorium at Cap</t>
  </si>
  <si>
    <t>NL-S-CSR-034</t>
  </si>
  <si>
    <t>6*  Beti Bachao Scheme,  PRJ NL-S-CSR-035</t>
  </si>
  <si>
    <t>Beti Bachao Scheme,</t>
  </si>
  <si>
    <t>NL-S-CSR-035</t>
  </si>
  <si>
    <t>6*  Medical Camps at Bar PRJ NL-S-CSR-036</t>
  </si>
  <si>
    <t>Medical Camps at Bar</t>
  </si>
  <si>
    <t>NL-S-CSR-036</t>
  </si>
  <si>
    <t>6*  Medical Services on  PRJ NL-S-CSR-037</t>
  </si>
  <si>
    <t>Medical Services on</t>
  </si>
  <si>
    <t>NL-S-CSR-037</t>
  </si>
  <si>
    <t>6*  2Nos of RCC OHT at K PRJ NL-S-CSR-038</t>
  </si>
  <si>
    <t>2Nos of RCC OHT at K</t>
  </si>
  <si>
    <t>NL-S-CSR-038</t>
  </si>
  <si>
    <t>6*  Railway toilets by R PRJ NL-S-CSR-039</t>
  </si>
  <si>
    <t>Railway toilets by R</t>
  </si>
  <si>
    <t>NL-S-CSR-039</t>
  </si>
  <si>
    <t>6*  Hygiene and Healthca PRJ NL-S-CSR-040</t>
  </si>
  <si>
    <t>Hygiene and Healthca</t>
  </si>
  <si>
    <t>NL-S-CSR-040</t>
  </si>
  <si>
    <t>6*  Education Support Se PRJ NL-S-CSR-041</t>
  </si>
  <si>
    <t>Education Support Se</t>
  </si>
  <si>
    <t>NL-S-CSR-041</t>
  </si>
  <si>
    <t>6*  Beti Padhao Scheme B PRJ NL-S-CSR-042</t>
  </si>
  <si>
    <t>Beti Padhao Scheme B</t>
  </si>
  <si>
    <t>NL-S-CSR-042</t>
  </si>
  <si>
    <t>6*  Scholarship for Girl PRJ NL-S-CSR-043</t>
  </si>
  <si>
    <t>Scholarship for Girl</t>
  </si>
  <si>
    <t>NL-S-CSR-043</t>
  </si>
  <si>
    <t>6*  Tution Fees for SC,  PRJ NL-S-CSR-044</t>
  </si>
  <si>
    <t>Tution Fees for SC,</t>
  </si>
  <si>
    <t>NL-S-CSR-044</t>
  </si>
  <si>
    <t>6*  Educational Assistan PRJ NL-S-CSR-045</t>
  </si>
  <si>
    <t>Educational Assistan</t>
  </si>
  <si>
    <t>NL-S-CSR-045</t>
  </si>
  <si>
    <t>6*  Educational promotio PRJ NL-S-CSR-046</t>
  </si>
  <si>
    <t>Educational promotio</t>
  </si>
  <si>
    <t>NL-S-CSR-046</t>
  </si>
  <si>
    <t>6*  Educational Assistan PRJ NL-S-CSR-047</t>
  </si>
  <si>
    <t>NL-S-CSR-047</t>
  </si>
  <si>
    <t>6*  Financial Assistance PRJ NL-S-CSR-048</t>
  </si>
  <si>
    <t>Financial Assistance</t>
  </si>
  <si>
    <t>NL-S-CSR-048</t>
  </si>
  <si>
    <t>6*  Fin. Asst. Sarada Ni PRJ NL-S-CSR-049</t>
  </si>
  <si>
    <t>Fin. Asst. Sarada Ni</t>
  </si>
  <si>
    <t>NL-S-CSR-049</t>
  </si>
  <si>
    <t>6*  Skill Development fo PRJ NL-S-CSR-050</t>
  </si>
  <si>
    <t>Skill Development fo</t>
  </si>
  <si>
    <t>NL-S-CSR-050</t>
  </si>
  <si>
    <t>6*  Fin. Asst. Gram Vika PRJ NL-S-CSR-051</t>
  </si>
  <si>
    <t>Fin. Asst. Gram Vika</t>
  </si>
  <si>
    <t>NL-S-CSR-051</t>
  </si>
  <si>
    <t>6*  Camel festival in Bi PRJ NL-S-CSR-052</t>
  </si>
  <si>
    <t>Camel festival in Bi</t>
  </si>
  <si>
    <t>NL-S-CSR-052</t>
  </si>
  <si>
    <t>6*  Conducting of sports PRJ NL-S-CSR-053</t>
  </si>
  <si>
    <t>Conducting of sports</t>
  </si>
  <si>
    <t>NL-S-CSR-053</t>
  </si>
  <si>
    <t>6*  Fin. Asst. to Olympi PRJ NL-S-CSR-054</t>
  </si>
  <si>
    <t>Fin. Asst. to Olympi</t>
  </si>
  <si>
    <t>NL-S-CSR-054</t>
  </si>
  <si>
    <t>6*  Amenities Developmen PRJ NL-S-CSR-055</t>
  </si>
  <si>
    <t>Amenities Developmen</t>
  </si>
  <si>
    <t>NL-S-CSR-055</t>
  </si>
  <si>
    <t>6*  Janapravesh by NLC B PRJ NL-S-CSR-056</t>
  </si>
  <si>
    <t>Janapravesh by NLC B</t>
  </si>
  <si>
    <t>NL-S-CSR-056</t>
  </si>
  <si>
    <t>6*  Baseline survey Eval PRJ NL-S-CSR-057</t>
  </si>
  <si>
    <t>Baseline survey Eval</t>
  </si>
  <si>
    <t>NL-S-CSR-057</t>
  </si>
  <si>
    <t>6*  Administrative Overh PRJ NL-S-CSR-058</t>
  </si>
  <si>
    <t>Administrative Overh</t>
  </si>
  <si>
    <t>NL-S-CSR-058</t>
  </si>
  <si>
    <t>6*  High School Transfor PRJ NL-S-CSR-059</t>
  </si>
  <si>
    <t>High School Transfor</t>
  </si>
  <si>
    <t>NL-S-CSR-059</t>
  </si>
  <si>
    <t>6*  Swachhta Activities  PRJ NL-S-CSR-060</t>
  </si>
  <si>
    <t>Swachhta Activities</t>
  </si>
  <si>
    <t>NL-S-CSR-060</t>
  </si>
  <si>
    <t>6*  Lab equipments AU    PRJ NL-S-CSR-061</t>
  </si>
  <si>
    <t>Lab equipments AU</t>
  </si>
  <si>
    <t>NL-S-CSR-061</t>
  </si>
  <si>
    <t>6*  Facilities Diploma M PRJ NL-S-CSR-062</t>
  </si>
  <si>
    <t>Facilities Diploma M</t>
  </si>
  <si>
    <t>NL-S-CSR-062</t>
  </si>
  <si>
    <t>6*  Trauma Care Centre K PRJ NL-S-CSR-063</t>
  </si>
  <si>
    <t>Trauma Care Centre K</t>
  </si>
  <si>
    <t>NL-S-CSR-063</t>
  </si>
  <si>
    <t>6*  TB Sanatorium GF Cud PRJ NL-S-CSR-064</t>
  </si>
  <si>
    <t>TB Sanatorium GF Cud</t>
  </si>
  <si>
    <t>NL-S-CSR-064</t>
  </si>
  <si>
    <t>6*  OHT Kannadi Village  PRJ NL-S-CSR-065</t>
  </si>
  <si>
    <t>OHT Kannadi Village</t>
  </si>
  <si>
    <t>NL-S-CSR-065</t>
  </si>
  <si>
    <t>6*  O2 Generator Shed TN PRJ NL-S-CSR-066</t>
  </si>
  <si>
    <t>O2 Generator Shed TN</t>
  </si>
  <si>
    <t>NL-S-CSR-066</t>
  </si>
  <si>
    <t>6*  Public Toilet Blocks PRJ NL-S-CSR-067</t>
  </si>
  <si>
    <t>Public Toilet Blocks</t>
  </si>
  <si>
    <t>NL-S-CSR-067</t>
  </si>
  <si>
    <t>6*  FA Saradha Niketan C PRJ NL-S-CSR-068</t>
  </si>
  <si>
    <t>FA Saradha Niketan C</t>
  </si>
  <si>
    <t>NL-S-CSR-068</t>
  </si>
  <si>
    <t>6*  FATO Gram Vikas Soci PRJ NL-S-CSR-069</t>
  </si>
  <si>
    <t>FATO Gram Vikas Soci</t>
  </si>
  <si>
    <t>NL-S-CSR-069</t>
  </si>
  <si>
    <t>6*  AMC for BOV, RTS, SP PRJ NL-S-CSR-070</t>
  </si>
  <si>
    <t>AMC for BOV, RTS, SP</t>
  </si>
  <si>
    <t>NL-S-CSR-070</t>
  </si>
  <si>
    <t>6*  Tution Fees Diploma  PRJ NL-S-CSR-071</t>
  </si>
  <si>
    <t>Tution Fees Diploma</t>
  </si>
  <si>
    <t>NL-S-CSR-071</t>
  </si>
  <si>
    <t>6*  Conducting Medical C PRJ NL-S-CSR-072</t>
  </si>
  <si>
    <t>Conducting Medical C</t>
  </si>
  <si>
    <t>NL-S-CSR-072</t>
  </si>
  <si>
    <t>6*  Sneha Opportunity Sc PRJ NL-S-CSR-073</t>
  </si>
  <si>
    <t>Sneha Opportunity Sc</t>
  </si>
  <si>
    <t>NL-S-CSR-073</t>
  </si>
  <si>
    <t>6*  FATO Athma Deepam So PRJ NL-S-CSR-074</t>
  </si>
  <si>
    <t>FATO Athma Deepam So</t>
  </si>
  <si>
    <t>NL-S-CSR-074</t>
  </si>
  <si>
    <t>6*  FA TO SADVSRN Trust  PRJ NL-S-CSR-075</t>
  </si>
  <si>
    <t>FA TO SADVSRN Trust</t>
  </si>
  <si>
    <t>NL-S-CSR-075</t>
  </si>
  <si>
    <t>6*  2 Class room Kollidu PRJ NL-S-CSR-076</t>
  </si>
  <si>
    <t>2 Class room Kollidu</t>
  </si>
  <si>
    <t>NL-S-CSR-076</t>
  </si>
  <si>
    <t>6*  4 Class Room Kurinji PRJ NL-S-CSR-077</t>
  </si>
  <si>
    <t>4 Class Room Kurinji</t>
  </si>
  <si>
    <t>NL-S-CSR-077</t>
  </si>
  <si>
    <t>6*  Urgent Activities wi PRJ NL-S-CSR-078</t>
  </si>
  <si>
    <t>Urgent Activities wi</t>
  </si>
  <si>
    <t>NL-S-CSR-078</t>
  </si>
  <si>
    <t>6*  Blood Donation Camps PRJ NL-S-CSR-079</t>
  </si>
  <si>
    <t>Blood Donation Camps</t>
  </si>
  <si>
    <t>NL-S-CSR-079</t>
  </si>
  <si>
    <t>6*  Medical Camps Barsin PRJ NL-S-CSR-080</t>
  </si>
  <si>
    <t>Medical Camps Barsin</t>
  </si>
  <si>
    <t>NL-S-CSR-080</t>
  </si>
  <si>
    <t>6*  OP Treament to Near  PRJ NL-S-CSR-081</t>
  </si>
  <si>
    <t>OP Treament to Near</t>
  </si>
  <si>
    <t>NL-S-CSR-081</t>
  </si>
  <si>
    <t>6*  Upgradation of near  PRJ NL-S-CSR-082</t>
  </si>
  <si>
    <t>Upgradation of near</t>
  </si>
  <si>
    <t>NL-S-CSR-082</t>
  </si>
  <si>
    <t>6*  Improvement works fo PRJ NL-S-CSR-083</t>
  </si>
  <si>
    <t>Improvement works fo</t>
  </si>
  <si>
    <t>NL-S-CSR-083</t>
  </si>
  <si>
    <t>6*  Infrastructure at PH PRJ NL-S-CSR-084</t>
  </si>
  <si>
    <t>Infrastructure at PH</t>
  </si>
  <si>
    <t>NL-S-CSR-084</t>
  </si>
  <si>
    <t>6*  Nutrisional support- PRJ NL-S-CSR-085</t>
  </si>
  <si>
    <t>Nutrisional support-</t>
  </si>
  <si>
    <t>NL-S-CSR-085</t>
  </si>
  <si>
    <t>6*  D.G. Set Villupuram  PRJ NL-S-CSR-086</t>
  </si>
  <si>
    <t>D.G. Set Villupuram</t>
  </si>
  <si>
    <t>NL-S-CSR-086</t>
  </si>
  <si>
    <t>6*  Medical Equipment fo PRJ NL-S-CSR-087</t>
  </si>
  <si>
    <t>Medical Equipment fo</t>
  </si>
  <si>
    <t>NL-S-CSR-087</t>
  </si>
  <si>
    <t>6*  OASIS &amp; Annai Theras PRJ NL-S-CSR-088</t>
  </si>
  <si>
    <t>OASIS &amp; Annai Theras</t>
  </si>
  <si>
    <t>NL-S-CSR-088</t>
  </si>
  <si>
    <t>6*  Financial Asstance t PRJ NL-S-CSR-089</t>
  </si>
  <si>
    <t>Financial Asstance t</t>
  </si>
  <si>
    <t>NL-S-CSR-089</t>
  </si>
  <si>
    <t>6*  FA2 Bharat Seva.Sang PRJ NL-S-CSR-090</t>
  </si>
  <si>
    <t>FA2 Bharat Seva.Sang</t>
  </si>
  <si>
    <t>NL-S-CSR-090</t>
  </si>
  <si>
    <t>6*  Ramakrishna Mutt - R PRJ NL-S-CSR-091</t>
  </si>
  <si>
    <t>Ramakrishna Mutt - R</t>
  </si>
  <si>
    <t>NL-S-CSR-091</t>
  </si>
  <si>
    <t>6*  FA2 DSK Kottayam Ker PRJ NL-S-CSR-092</t>
  </si>
  <si>
    <t>FA2 DSK Kottayam Ker</t>
  </si>
  <si>
    <t>NL-S-CSR-092</t>
  </si>
  <si>
    <t>6*  Consumable&amp;Charges f PRJ NL-S-CSR-093</t>
  </si>
  <si>
    <t>Consumable&amp;Charges f</t>
  </si>
  <si>
    <t>NL-S-CSR-093</t>
  </si>
  <si>
    <t>6*  FA to Sri Dhanvantha PRJ NL-S-CSR-094</t>
  </si>
  <si>
    <t>FA to Sri Dhanvantha</t>
  </si>
  <si>
    <t>NL-S-CSR-094</t>
  </si>
  <si>
    <t>6*  Improvement works Ba PRJ NL-S-CSR-095</t>
  </si>
  <si>
    <t>Improvement works Ba</t>
  </si>
  <si>
    <t>NL-S-CSR-095</t>
  </si>
  <si>
    <t>6*  OHT for U.Athanur Vi PRJ NL-S-CSR-096</t>
  </si>
  <si>
    <t>OHT for U.Athanur Vi</t>
  </si>
  <si>
    <t>NL-S-CSR-096</t>
  </si>
  <si>
    <t>6*  OHT in Mummudi Chola PRJ NL-S-CSR-097</t>
  </si>
  <si>
    <t>OHT in Mummudi Chola</t>
  </si>
  <si>
    <t>NL-S-CSR-097</t>
  </si>
  <si>
    <t>6*  OHT and Borewell Veg PRJ NL-S-CSR-098</t>
  </si>
  <si>
    <t>OHT and Borewell Veg</t>
  </si>
  <si>
    <t>NL-S-CSR-098</t>
  </si>
  <si>
    <t>6*  OHT and Borewell at  PRJ NL-S-CSR-099</t>
  </si>
  <si>
    <t>OHT and Borewell at</t>
  </si>
  <si>
    <t>NL-S-CSR-099</t>
  </si>
  <si>
    <t>6*  BWl@Govt.School Karu PRJ NL-S-CSR-100</t>
  </si>
  <si>
    <t>BWl@Govt.School Karu</t>
  </si>
  <si>
    <t>NL-S-CSR-100</t>
  </si>
  <si>
    <t>6*  OHT at Annavalli Ura PRJ NL-S-CSR-101</t>
  </si>
  <si>
    <t>OHT at Annavalli Ura</t>
  </si>
  <si>
    <t>NL-S-CSR-101</t>
  </si>
  <si>
    <t>6*  Borewell at Vadalur  PRJ NL-S-CSR-102</t>
  </si>
  <si>
    <t>Borewell at Vadalur</t>
  </si>
  <si>
    <t>NL-S-CSR-102</t>
  </si>
  <si>
    <t>6*  OHT in Valli madhura PRJ NL-S-CSR-103</t>
  </si>
  <si>
    <t>OHT in Valli madhura</t>
  </si>
  <si>
    <t>NL-S-CSR-103</t>
  </si>
  <si>
    <t>6*  OHT in Ma Pudaiyur M PRJ NL-S-CSR-104</t>
  </si>
  <si>
    <t>OHT in Ma Pudaiyur M</t>
  </si>
  <si>
    <t>NL-S-CSR-104</t>
  </si>
  <si>
    <t>6*  OHT in Elamangalam,  PRJ NL-S-CSR-105</t>
  </si>
  <si>
    <t>OHT in Elamangalam,</t>
  </si>
  <si>
    <t>NL-S-CSR-105</t>
  </si>
  <si>
    <t>6*  Borewell for kotteri PRJ NL-S-CSR-106</t>
  </si>
  <si>
    <t>Borewell for kotteri</t>
  </si>
  <si>
    <t>NL-S-CSR-106</t>
  </si>
  <si>
    <t>6*  Hygiene &amp; Healthcare PRJ NL-S-CSR-107</t>
  </si>
  <si>
    <t>Hygiene &amp; Healthcare</t>
  </si>
  <si>
    <t>NL-S-CSR-107</t>
  </si>
  <si>
    <t>6*  Toilet blocks for sc PRJ NL-S-CSR-108</t>
  </si>
  <si>
    <t>Toilet blocks for sc</t>
  </si>
  <si>
    <t>NL-S-CSR-108</t>
  </si>
  <si>
    <t>6*  Toilet blocks,OHT Go PRJ NL-S-CSR-109</t>
  </si>
  <si>
    <t>Toilet blocks,OHT Go</t>
  </si>
  <si>
    <t>NL-S-CSR-109</t>
  </si>
  <si>
    <t>6*  Swachhata activities PRJ NL-S-CSR-110</t>
  </si>
  <si>
    <t>Swachhata activities</t>
  </si>
  <si>
    <t>NL-S-CSR-110</t>
  </si>
  <si>
    <t>6*  Toilet blocks Alangu PRJ NL-S-CSR-111</t>
  </si>
  <si>
    <t>Toilet blocks Alangu</t>
  </si>
  <si>
    <t>NL-S-CSR-111</t>
  </si>
  <si>
    <t>6*  Awareness motivation PRJ NL-S-CSR-112</t>
  </si>
  <si>
    <t>Awareness motivation</t>
  </si>
  <si>
    <t>NL-S-CSR-112</t>
  </si>
  <si>
    <t>6*  1 std girl students  PRJ NL-S-CSR-113</t>
  </si>
  <si>
    <t>1 std girl students</t>
  </si>
  <si>
    <t>NL-S-CSR-113</t>
  </si>
  <si>
    <t>6*  Scholarship to girl  PRJ NL-S-CSR-114</t>
  </si>
  <si>
    <t>Scholarship to girl</t>
  </si>
  <si>
    <t>NL-S-CSR-114</t>
  </si>
  <si>
    <t>6*  Tution Fees SC,ST,OB PRJ NL-S-CSR-115</t>
  </si>
  <si>
    <t>Tution Fees SC,ST,OB</t>
  </si>
  <si>
    <t>NL-S-CSR-115</t>
  </si>
  <si>
    <t>6*  Activities for promo PRJ NL-S-CSR-116</t>
  </si>
  <si>
    <t>Activities for promo</t>
  </si>
  <si>
    <t>NL-S-CSR-116</t>
  </si>
  <si>
    <t>6*  Educational assistan PRJ NL-S-CSR-117</t>
  </si>
  <si>
    <t>Educational assistan</t>
  </si>
  <si>
    <t>NL-S-CSR-117</t>
  </si>
  <si>
    <t>6*  Compound wall GHS Sa PRJ NL-S-CSR-118</t>
  </si>
  <si>
    <t>Compound wall GHS Sa</t>
  </si>
  <si>
    <t>NL-S-CSR-118</t>
  </si>
  <si>
    <t>6*  Toilet blocks,smart  PRJ NL-S-CSR-119</t>
  </si>
  <si>
    <t>Toilet blocks,smart</t>
  </si>
  <si>
    <t>NL-S-CSR-119</t>
  </si>
  <si>
    <t>6*  Classrooms,toilets-  PRJ NL-S-CSR-120</t>
  </si>
  <si>
    <t>Classrooms,toilets-</t>
  </si>
  <si>
    <t>NL-S-CSR-120</t>
  </si>
  <si>
    <t>6*  OHT,Library,etc. Mel PRJ NL-S-CSR-121</t>
  </si>
  <si>
    <t>OHT,Library,etc. Mel</t>
  </si>
  <si>
    <t>NL-S-CSR-121</t>
  </si>
  <si>
    <t>6*  FA JES for neyveli o PRJ NL-S-CSR-122</t>
  </si>
  <si>
    <t>FA JES for neyveli o</t>
  </si>
  <si>
    <t>NL-S-CSR-122</t>
  </si>
  <si>
    <t>6*  Compound wall,etc fo PRJ NL-S-CSR-123</t>
  </si>
  <si>
    <t>Compound wall,etc fo</t>
  </si>
  <si>
    <t>NL-S-CSR-123</t>
  </si>
  <si>
    <t>6*  2 classroom PUES Kee PRJ NL-S-CSR-124</t>
  </si>
  <si>
    <t>2 classroom PUES Kee</t>
  </si>
  <si>
    <t>NL-S-CSR-124</t>
  </si>
  <si>
    <t>6*  FA Tribal area Odish PRJ NL-S-CSR-125</t>
  </si>
  <si>
    <t>FA Tribal area Odish</t>
  </si>
  <si>
    <t>NL-S-CSR-125</t>
  </si>
  <si>
    <t>6*  Smartclass GS Kumbak PRJ NL-S-CSR-126</t>
  </si>
  <si>
    <t>Smartclass GS Kumbak</t>
  </si>
  <si>
    <t>NL-S-CSR-126</t>
  </si>
  <si>
    <t>6*  4 classroom HSS Nall PRJ NL-S-CSR-127</t>
  </si>
  <si>
    <t>4 classroom HSS Nall</t>
  </si>
  <si>
    <t>NL-S-CSR-127</t>
  </si>
  <si>
    <t>6*  Infrastructures to L PRJ NL-S-CSR-128</t>
  </si>
  <si>
    <t>Infrastructures to L</t>
  </si>
  <si>
    <t>NL-S-CSR-128</t>
  </si>
  <si>
    <t>6*  Infra. Middle School PRJ NL-S-CSR-129</t>
  </si>
  <si>
    <t>Infra. Middle School</t>
  </si>
  <si>
    <t>NL-S-CSR-129</t>
  </si>
  <si>
    <t>6*  FA Kasturba New Delh PRJ NL-S-CSR-130</t>
  </si>
  <si>
    <t>FA Kasturba New Delh</t>
  </si>
  <si>
    <t>NL-S-CSR-130</t>
  </si>
  <si>
    <t>6*  FA to school in Roht PRJ NL-S-CSR-131</t>
  </si>
  <si>
    <t>FA to school in Roht</t>
  </si>
  <si>
    <t>NL-S-CSR-131</t>
  </si>
  <si>
    <t>6*  FA 20 classroom GS D PRJ NL-S-CSR-132</t>
  </si>
  <si>
    <t>FA 20 classroom GS D</t>
  </si>
  <si>
    <t>NL-S-CSR-132</t>
  </si>
  <si>
    <t>6*  Skill development pr PRJ NL-S-CSR-133</t>
  </si>
  <si>
    <t>Skill development pr</t>
  </si>
  <si>
    <t>NL-S-CSR-133</t>
  </si>
  <si>
    <t>6*  FA to VIKS Hyderabad PRJ NL-S-CSR-134</t>
  </si>
  <si>
    <t>FA to VIKS Hyderabad</t>
  </si>
  <si>
    <t>NL-S-CSR-134</t>
  </si>
  <si>
    <t>6*  Camel festival 2023  PRJ NL-S-CSR-135</t>
  </si>
  <si>
    <t>Camel festival 2023</t>
  </si>
  <si>
    <t>NL-S-CSR-135</t>
  </si>
  <si>
    <t>6*  Re-dev. activities K PRJ NL-S-CSR-136</t>
  </si>
  <si>
    <t>Re-dev. activities K</t>
  </si>
  <si>
    <t>NL-S-CSR-136</t>
  </si>
  <si>
    <t>6*  Tokyo Olympics Jodhk PRJ NL-S-CSR-137</t>
  </si>
  <si>
    <t>Tokyo Olympics Jodhk</t>
  </si>
  <si>
    <t>NL-S-CSR-137</t>
  </si>
  <si>
    <t>6*  T.O. Lulkudi, Badkic PRJ NL-S-CSR-138</t>
  </si>
  <si>
    <t>T.O. Lulkudi, Badkic</t>
  </si>
  <si>
    <t>NL-S-CSR-138</t>
  </si>
  <si>
    <t>6*  Sports meet Bikaner  PRJ NL-S-CSR-139</t>
  </si>
  <si>
    <t>Sports meet Bikaner</t>
  </si>
  <si>
    <t>NL-S-CSR-139</t>
  </si>
  <si>
    <t>6*  BT road Bharathi Nag PRJ NL-S-CSR-140</t>
  </si>
  <si>
    <t>BT road Bharathi Nag</t>
  </si>
  <si>
    <t>NL-S-CSR-140</t>
  </si>
  <si>
    <t>6*  13 wells Bhanpura vi PRJ NL-S-CSR-141</t>
  </si>
  <si>
    <t>13 wells Bhanpura vi</t>
  </si>
  <si>
    <t>NL-S-CSR-141</t>
  </si>
  <si>
    <t>6*  Community hall Kolli PRJ NL-S-CSR-142</t>
  </si>
  <si>
    <t>Community hall Kolli</t>
  </si>
  <si>
    <t>NL-S-CSR-142</t>
  </si>
  <si>
    <t>6*  Road repair work The PRJ NL-S-CSR-143</t>
  </si>
  <si>
    <t>Road repair work The</t>
  </si>
  <si>
    <t>NL-S-CSR-143</t>
  </si>
  <si>
    <t>6*  Community Hall Mella PRJ NL-S-CSR-144</t>
  </si>
  <si>
    <t>Community Hall Mella</t>
  </si>
  <si>
    <t>NL-S-CSR-144</t>
  </si>
  <si>
    <t>6*  BT road Kunankurichi PRJ NL-S-CSR-145</t>
  </si>
  <si>
    <t>BT road Kunankurichi</t>
  </si>
  <si>
    <t>NL-S-CSR-145</t>
  </si>
  <si>
    <t>6*  Barsingsar-Udairamsa PRJ NL-S-CSR-146</t>
  </si>
  <si>
    <t>Barsingsar-Udairamsa</t>
  </si>
  <si>
    <t>NL-S-CSR-146</t>
  </si>
  <si>
    <t>6*  Boxculvert,Rcc vents PRJ NL-S-CSR-147</t>
  </si>
  <si>
    <t>Boxculvert,Rcc vents</t>
  </si>
  <si>
    <t>NL-S-CSR-147</t>
  </si>
  <si>
    <t>6*  Baseline survey &amp; IA PRJ NL-S-CSR-148</t>
  </si>
  <si>
    <t>Baseline survey &amp; IA</t>
  </si>
  <si>
    <t>NL-S-CSR-148</t>
  </si>
  <si>
    <t>6*  FA Guru Institute Hu PRJ NL-S-CSR-149</t>
  </si>
  <si>
    <t>FA Guru Institute Hu</t>
  </si>
  <si>
    <t>NL-S-CSR-149</t>
  </si>
  <si>
    <t>6*  Cow Stable Barsi Bar PRJ NL-S-CSR-150</t>
  </si>
  <si>
    <t>Cow Stable Barsi Bar</t>
  </si>
  <si>
    <t>NL-S-CSR-150</t>
  </si>
  <si>
    <t>6*  Administrative Overh PRJ NL-S-CSR-151</t>
  </si>
  <si>
    <t>NL-S-CSR-151</t>
  </si>
  <si>
    <t>6*  TraumaCare First Flo PRJ NL-S-CSR-152</t>
  </si>
  <si>
    <t>TraumaCare First Flo</t>
  </si>
  <si>
    <t>NL-S-CSR-152</t>
  </si>
  <si>
    <t>6*  Upgradation of PHCs  PRJ NL-S-CSR-153</t>
  </si>
  <si>
    <t>Upgradation of PHCs</t>
  </si>
  <si>
    <t>NL-S-CSR-153</t>
  </si>
  <si>
    <t>6*  Imp. works Gov PHC C PRJ NL-S-CSR-154</t>
  </si>
  <si>
    <t>Imp. works Gov PHC C</t>
  </si>
  <si>
    <t>NL-S-CSR-154</t>
  </si>
  <si>
    <t>6*  D.G.Set O2 plant  Vi PRJ NL-S-CSR-155</t>
  </si>
  <si>
    <t>D.G.Set O2 plant  Vi</t>
  </si>
  <si>
    <t>NL-S-CSR-155</t>
  </si>
  <si>
    <t>6*  Ramakrishna Math, Ra PRJ NL-S-CSR-156</t>
  </si>
  <si>
    <t>Ramakrishna Math, Ra</t>
  </si>
  <si>
    <t>NL-S-CSR-156</t>
  </si>
  <si>
    <t>6*  Consumbales charges  PRJ NL-S-CSR-157</t>
  </si>
  <si>
    <t>Consumbales charges</t>
  </si>
  <si>
    <t>NL-S-CSR-157</t>
  </si>
  <si>
    <t>6*  Tin shed water tank  PRJ NL-S-CSR-158</t>
  </si>
  <si>
    <t>Tin shed water tank</t>
  </si>
  <si>
    <t>NL-S-CSR-158</t>
  </si>
  <si>
    <t>6*  OHT &amp; Borewell U.Adh PRJ NL-S-CSR-159</t>
  </si>
  <si>
    <t>OHT &amp; Borewell U.Adh</t>
  </si>
  <si>
    <t>NL-S-CSR-159</t>
  </si>
  <si>
    <t>6*   OHT Mummudicholagan PRJ NL-S-CSR-160</t>
  </si>
  <si>
    <t>OHT Mummudicholagan</t>
  </si>
  <si>
    <t>NL-S-CSR-160</t>
  </si>
  <si>
    <t>6*   OHT Borewell Vegako PRJ NL-S-CSR-161</t>
  </si>
  <si>
    <t>OHT Borewell Vegako</t>
  </si>
  <si>
    <t>NL-S-CSR-161</t>
  </si>
  <si>
    <t>6*  OHT borewell Seplant PRJ NL-S-CSR-162</t>
  </si>
  <si>
    <t>OHT borewell Seplant</t>
  </si>
  <si>
    <t>NL-S-CSR-162</t>
  </si>
  <si>
    <t>6*  AMC  Roof top solar  PRJ NL-S-CSR-163</t>
  </si>
  <si>
    <t>AMC  Roof top solar</t>
  </si>
  <si>
    <t>NL-S-CSR-163</t>
  </si>
  <si>
    <t>6*  Revitalisation Borew PRJ NL-S-CSR-164</t>
  </si>
  <si>
    <t>Revitalisation Borew</t>
  </si>
  <si>
    <t>NL-S-CSR-164</t>
  </si>
  <si>
    <t>6*  OHT Annavalli  Vazhi PRJ NL-S-CSR-165</t>
  </si>
  <si>
    <t>OHT Annavalli  Vazhi</t>
  </si>
  <si>
    <t>NL-S-CSR-165</t>
  </si>
  <si>
    <t>6*  OHT ValliMaduram,Ma. PRJ NL-S-CSR-166</t>
  </si>
  <si>
    <t>OHT ValliMaduram,Ma.</t>
  </si>
  <si>
    <t>NL-S-CSR-166</t>
  </si>
  <si>
    <t>6*  Drinking water borew PRJ NL-S-CSR-167</t>
  </si>
  <si>
    <t>Drinking water borew</t>
  </si>
  <si>
    <t>NL-S-CSR-167</t>
  </si>
  <si>
    <t>6*  Toilet blocks,school PRJ NL-S-CSR-168</t>
  </si>
  <si>
    <t>Toilet blocks,school</t>
  </si>
  <si>
    <t>NL-S-CSR-168</t>
  </si>
  <si>
    <t>6*  Public Toilet Blocks PRJ NL-S-CSR-169</t>
  </si>
  <si>
    <t>NL-S-CSR-169</t>
  </si>
  <si>
    <t>6*  swachh iconic places PRJ NL-S-CSR-170</t>
  </si>
  <si>
    <t>swachh iconic places</t>
  </si>
  <si>
    <t>NL-S-CSR-170</t>
  </si>
  <si>
    <t>6*  community toilets @  PRJ NL-S-CSR-171</t>
  </si>
  <si>
    <t>community toilets @</t>
  </si>
  <si>
    <t>NL-S-CSR-171</t>
  </si>
  <si>
    <t>6*  Toilets @ Kattukudal PRJ NL-S-CSR-172</t>
  </si>
  <si>
    <t>Toilets @ Kattukudal</t>
  </si>
  <si>
    <t>NL-S-CSR-172</t>
  </si>
  <si>
    <t>6*   6 toilet blocks aro PRJ NL-S-CSR-173</t>
  </si>
  <si>
    <t>6 toilet blocks aro</t>
  </si>
  <si>
    <t>NL-S-CSR-173</t>
  </si>
  <si>
    <t>6*  Reimbursement Fee Di PRJ NL-S-CSR-174</t>
  </si>
  <si>
    <t>Reimbursement Fee Di</t>
  </si>
  <si>
    <t>NL-S-CSR-174</t>
  </si>
  <si>
    <t>6*  2 classroom PUMS Paz PRJ NL-S-CSR-175</t>
  </si>
  <si>
    <t>2 classroom PUMS Paz</t>
  </si>
  <si>
    <t>NL-S-CSR-175</t>
  </si>
  <si>
    <t>6*  4 classroom Gov BHSS PRJ NL-S-CSR-176</t>
  </si>
  <si>
    <t>4 classroom Gov BHSS</t>
  </si>
  <si>
    <t>NL-S-CSR-176</t>
  </si>
  <si>
    <t>6*  Compound wall GHS Sa PRJ NL-S-CSR-177</t>
  </si>
  <si>
    <t>NL-S-CSR-177</t>
  </si>
  <si>
    <t>6*  Toilets tin shed hal PRJ NL-S-CSR-178</t>
  </si>
  <si>
    <t>Toilets tin shed hal</t>
  </si>
  <si>
    <t>NL-S-CSR-178</t>
  </si>
  <si>
    <t>6*  clasroom Vanathiraya PRJ NL-S-CSR-179</t>
  </si>
  <si>
    <t>clasroom Vanathiraya</t>
  </si>
  <si>
    <t>NL-S-CSR-179</t>
  </si>
  <si>
    <t>6*  Library GHS Melakupp PRJ NL-S-CSR-180</t>
  </si>
  <si>
    <t>Library GHS Melakupp</t>
  </si>
  <si>
    <t>NL-S-CSR-180</t>
  </si>
  <si>
    <t>6*  Reimb. purch Lab equ PRJ NL-S-CSR-181</t>
  </si>
  <si>
    <t>Reimb. purch Lab equ</t>
  </si>
  <si>
    <t>NL-S-CSR-181</t>
  </si>
  <si>
    <t>6*  Toilet Clasroom GHS  PRJ NL-S-CSR-182</t>
  </si>
  <si>
    <t>Toilet Clasroom GHS</t>
  </si>
  <si>
    <t>NL-S-CSR-182</t>
  </si>
  <si>
    <t>6*  2clsroom PU Keelur A PRJ NL-S-CSR-183</t>
  </si>
  <si>
    <t>2clsroom PU Keelur A</t>
  </si>
  <si>
    <t>NL-S-CSR-183</t>
  </si>
  <si>
    <t>6*  Fin support SSVMPS B PRJ NL-S-CSR-184</t>
  </si>
  <si>
    <t>Fin support SSVMPS B</t>
  </si>
  <si>
    <t>NL-S-CSR-184</t>
  </si>
  <si>
    <t>6*  Infrastructure Libra PRJ NL-S-CSR-185</t>
  </si>
  <si>
    <t>Infrastructure Libra</t>
  </si>
  <si>
    <t>NL-S-CSR-185</t>
  </si>
  <si>
    <t>6*  Infrastructure Middl PRJ NL-S-CSR-186</t>
  </si>
  <si>
    <t>Infrastructure Middl</t>
  </si>
  <si>
    <t>NL-S-CSR-186</t>
  </si>
  <si>
    <t>6*  FA 20 clsroom Govt S PRJ NL-S-CSR-187</t>
  </si>
  <si>
    <t>FA 20 clsroom Govt S</t>
  </si>
  <si>
    <t>NL-S-CSR-187</t>
  </si>
  <si>
    <t>6*  2 clsroom PUMS Adaya PRJ NL-S-CSR-188</t>
  </si>
  <si>
    <t>2 clsroom PUMS Adaya</t>
  </si>
  <si>
    <t>NL-S-CSR-188</t>
  </si>
  <si>
    <t>6*  infra Gov school, Sw PRJ NL-S-CSR-189</t>
  </si>
  <si>
    <t>infra Gov school, Sw</t>
  </si>
  <si>
    <t>NL-S-CSR-189</t>
  </si>
  <si>
    <t>6*  Infra. GHSS Lalamdes PRJ NL-S-CSR-190</t>
  </si>
  <si>
    <t>Infra. GHSS Lalamdes</t>
  </si>
  <si>
    <t>NL-S-CSR-190</t>
  </si>
  <si>
    <t>6*  Infra.Gov MahatmaGan PRJ NL-S-CSR-191</t>
  </si>
  <si>
    <t>Infra.Gov MahatmaGan</t>
  </si>
  <si>
    <t>NL-S-CSR-191</t>
  </si>
  <si>
    <t>6*  FA Atma Deepam Socie PRJ NL-S-CSR-192</t>
  </si>
  <si>
    <t>FA Atma Deepam Socie</t>
  </si>
  <si>
    <t>NL-S-CSR-192</t>
  </si>
  <si>
    <t>6*  FA VIKS Hyderabad    PRJ NL-S-CSR-193</t>
  </si>
  <si>
    <t>FA VIKS Hyderabad</t>
  </si>
  <si>
    <t>NL-S-CSR-193</t>
  </si>
  <si>
    <t>6*  FA Santhigiri Ashram PRJ NL-S-CSR-194</t>
  </si>
  <si>
    <t>FA Santhigiri Ashram</t>
  </si>
  <si>
    <t>NL-S-CSR-194</t>
  </si>
  <si>
    <t>6*  Sewing Machines to W PRJ NL-S-CSR-195</t>
  </si>
  <si>
    <t>Sewing Machines to W</t>
  </si>
  <si>
    <t>NL-S-CSR-195</t>
  </si>
  <si>
    <t>6*  Redevelopment activi PRJ NL-S-CSR-196</t>
  </si>
  <si>
    <t>Redevelopment activi</t>
  </si>
  <si>
    <t>NL-S-CSR-196</t>
  </si>
  <si>
    <t>6*  FA to Guru Institute PRJ NL-S-CSR-197</t>
  </si>
  <si>
    <t>FA to Guru Institute</t>
  </si>
  <si>
    <t>NL-S-CSR-197</t>
  </si>
  <si>
    <t>6*  olympians Sirsa, Jod PRJ NL-S-CSR-198</t>
  </si>
  <si>
    <t>olympians Sirsa, Jod</t>
  </si>
  <si>
    <t>NL-S-CSR-198</t>
  </si>
  <si>
    <t>6*  olympians Lulkidi, B PRJ NL-S-CSR-199</t>
  </si>
  <si>
    <t>olympians Lulkidi, B</t>
  </si>
  <si>
    <t>NL-S-CSR-199</t>
  </si>
  <si>
    <t>6*  BT road to Bharathi  PRJ NL-S-CSR-200</t>
  </si>
  <si>
    <t>BT road to Bharathi</t>
  </si>
  <si>
    <t>NL-S-CSR-200</t>
  </si>
  <si>
    <t>6*  Community Hall Kolli PRJ NL-S-CSR-201</t>
  </si>
  <si>
    <t>Community Hall Kolli</t>
  </si>
  <si>
    <t>NL-S-CSR-201</t>
  </si>
  <si>
    <t>6*  Therkumelur to Vadal PRJ NL-S-CSR-202</t>
  </si>
  <si>
    <t>Therkumelur to Vadal</t>
  </si>
  <si>
    <t>NL-S-CSR-202</t>
  </si>
  <si>
    <t>6*  Community Hall at Me PRJ NL-S-CSR-203</t>
  </si>
  <si>
    <t>Community Hall at Me</t>
  </si>
  <si>
    <t>NL-S-CSR-203</t>
  </si>
  <si>
    <t>6*  BT Road  Kunankurich PRJ NL-S-CSR-204</t>
  </si>
  <si>
    <t>BT Road  Kunankurich</t>
  </si>
  <si>
    <t>NL-S-CSR-204</t>
  </si>
  <si>
    <t>6*  Barsingsar-UdairamBy PRJ NL-S-CSR-205</t>
  </si>
  <si>
    <t>Barsingsar-UdairamBy</t>
  </si>
  <si>
    <t>NL-S-CSR-205</t>
  </si>
  <si>
    <t>6*  widening of Sengal O PRJ NL-S-CSR-206</t>
  </si>
  <si>
    <t>widening of Sengal O</t>
  </si>
  <si>
    <t>NL-S-CSR-206</t>
  </si>
  <si>
    <t>6*  Baseline survey      PRJ NL-S-CSR-207</t>
  </si>
  <si>
    <t>Baseline survey</t>
  </si>
  <si>
    <t>NL-S-CSR-207</t>
  </si>
  <si>
    <t>6*  FA Gram Vikas Societ PRJ NL-S-CSR-208</t>
  </si>
  <si>
    <t>FA Gram Vikas Societ</t>
  </si>
  <si>
    <t>NL-S-CSR-208</t>
  </si>
  <si>
    <t>6*  FA Vedic Mision Trus PRJ NL-S-CSR-209</t>
  </si>
  <si>
    <t>FA Vedic Mision Trus</t>
  </si>
  <si>
    <t>NL-S-CSR-209</t>
  </si>
  <si>
    <t>6*  FA Vocie of World    PRJ NL-S-CSR-210</t>
  </si>
  <si>
    <t>FA Vocie of World</t>
  </si>
  <si>
    <t>NL-S-CSR-210</t>
  </si>
  <si>
    <t>6*  FA Aravinda Charitab PRJ NL-S-CSR-211</t>
  </si>
  <si>
    <t>FA Aravinda Charitab</t>
  </si>
  <si>
    <t>NL-S-CSR-211</t>
  </si>
  <si>
    <t>6*  urgent/new CSR Activ PRJ NL-S-CSR-212</t>
  </si>
  <si>
    <t>urgent/new CSR Activ</t>
  </si>
  <si>
    <t>NL-S-CSR-212</t>
  </si>
  <si>
    <t>6*  Poshak to HIV +Ve  S PRJ NL-S-CSR-213</t>
  </si>
  <si>
    <t>Poshak to HIV +Ve  S</t>
  </si>
  <si>
    <t>NL-S-CSR-213</t>
  </si>
  <si>
    <t>6*  Blood Donation camp  PRJ NL-S-CSR-214</t>
  </si>
  <si>
    <t>Blood Donation camp</t>
  </si>
  <si>
    <t>NL-S-CSR-214</t>
  </si>
  <si>
    <t>6*  Year Long Swachhata  PRJ NL-S-CSR-215</t>
  </si>
  <si>
    <t>Year Long Swachhata</t>
  </si>
  <si>
    <t>NL-S-CSR-215</t>
  </si>
  <si>
    <t>6*  Food supplement to I PRJ NL-S-CSR-216</t>
  </si>
  <si>
    <t>Food supplement to I</t>
  </si>
  <si>
    <t>NL-S-CSR-216</t>
  </si>
  <si>
    <t>6*  Hospital,Comp.wall f PRJ NL-S-CSR-217</t>
  </si>
  <si>
    <t>Hospital,Comp.wall f</t>
  </si>
  <si>
    <t>NL-S-CSR-217</t>
  </si>
  <si>
    <t>6*  Patient waiting hall PRJ NL-S-CSR-218</t>
  </si>
  <si>
    <t>Patient waiting hall</t>
  </si>
  <si>
    <t>NL-S-CSR-218</t>
  </si>
  <si>
    <t>6*  Hospital &amp; facilitie PRJ NL-S-CSR-219</t>
  </si>
  <si>
    <t>Hospital &amp; facilitie</t>
  </si>
  <si>
    <t>NL-S-CSR-219</t>
  </si>
  <si>
    <t>6*  Conducting Medical c PRJ NL-S-CSR-220</t>
  </si>
  <si>
    <t>Conducting Medical c</t>
  </si>
  <si>
    <t>NL-S-CSR-220</t>
  </si>
  <si>
    <t>6*  HC PM Cmp public res PRJ NL-S-CSR-221</t>
  </si>
  <si>
    <t>HC PM Cmp public res</t>
  </si>
  <si>
    <t>NL-S-CSR-221</t>
  </si>
  <si>
    <t>6*  Breakfast Scheme to  PRJ NL-S-CSR-222</t>
  </si>
  <si>
    <t>Breakfast Scheme to</t>
  </si>
  <si>
    <t>NL-S-CSR-222</t>
  </si>
  <si>
    <t>6*  Ambulance service -P PRJ NL-S-CSR-223</t>
  </si>
  <si>
    <t>Ambulance service -P</t>
  </si>
  <si>
    <t>NL-S-CSR-223</t>
  </si>
  <si>
    <t>6*  FA NLCIL Referral Ho PRJ NL-S-CSR-224</t>
  </si>
  <si>
    <t>FA NLCIL Referral Ho</t>
  </si>
  <si>
    <t>NL-S-CSR-224</t>
  </si>
  <si>
    <t>6*  Camps in Project aff PRJ NL-S-CSR-225</t>
  </si>
  <si>
    <t>Camps in Project aff</t>
  </si>
  <si>
    <t>NL-S-CSR-225</t>
  </si>
  <si>
    <t>6*  PHC @ Project Affect PRJ NL-S-CSR-226</t>
  </si>
  <si>
    <t>PHC @ Project Affect</t>
  </si>
  <si>
    <t>NL-S-CSR-226</t>
  </si>
  <si>
    <t>6*  Wheel chair etc in P PRJ NL-S-CSR-227</t>
  </si>
  <si>
    <t>Wheel chair etc in P</t>
  </si>
  <si>
    <t>NL-S-CSR-227</t>
  </si>
  <si>
    <t>6*  Periodical health ch PRJ NL-S-CSR-228</t>
  </si>
  <si>
    <t>Periodical health ch</t>
  </si>
  <si>
    <t>NL-S-CSR-228</t>
  </si>
  <si>
    <t>6*  Beti Bachao scheme,  PRJ NL-S-CSR-229</t>
  </si>
  <si>
    <t>Beti Bachao scheme,</t>
  </si>
  <si>
    <t>NL-S-CSR-229</t>
  </si>
  <si>
    <t>6*  Infra. development P PRJ NL-S-CSR-230</t>
  </si>
  <si>
    <t>Infra. development P</t>
  </si>
  <si>
    <t>NL-S-CSR-230</t>
  </si>
  <si>
    <t>6*  OHT &amp; Borewell at Se PRJ NL-S-CSR-231</t>
  </si>
  <si>
    <t>OHT &amp; Borewell at Se</t>
  </si>
  <si>
    <t>NL-S-CSR-231</t>
  </si>
  <si>
    <t>6*  OHT &amp; Borewell at Vi PRJ NL-S-CSR-232</t>
  </si>
  <si>
    <t>OHT &amp; Borewell at Vi</t>
  </si>
  <si>
    <t>NL-S-CSR-232</t>
  </si>
  <si>
    <t>6*  BW,Pipeline,etc TB H PRJ NL-S-CSR-233</t>
  </si>
  <si>
    <t>BW,Pipeline,etc TB H</t>
  </si>
  <si>
    <t>NL-S-CSR-233</t>
  </si>
  <si>
    <t>6*  BW,Elec. motor facil PRJ NL-S-CSR-234</t>
  </si>
  <si>
    <t>BW,Elec. motor facil</t>
  </si>
  <si>
    <t>NL-S-CSR-234</t>
  </si>
  <si>
    <t>6*  Drinking water facil PRJ NL-S-CSR-235</t>
  </si>
  <si>
    <t>Drinking water facil</t>
  </si>
  <si>
    <t>NL-S-CSR-235</t>
  </si>
  <si>
    <t>6*  OHT at K.K. Nagar, K PRJ NL-S-CSR-236</t>
  </si>
  <si>
    <t>OHT at K.K. Nagar, K</t>
  </si>
  <si>
    <t>NL-S-CSR-236</t>
  </si>
  <si>
    <t>6*  OHT &amp; Borewell,Anna  PRJ NL-S-CSR-237</t>
  </si>
  <si>
    <t>OHT &amp; Borewell,Anna</t>
  </si>
  <si>
    <t>NL-S-CSR-237</t>
  </si>
  <si>
    <t>6*  OHT,Vadakumelur Panc PRJ NL-S-CSR-238</t>
  </si>
  <si>
    <t>OHT,Vadakumelur Panc</t>
  </si>
  <si>
    <t>NL-S-CSR-238</t>
  </si>
  <si>
    <t>6*  OHT in Arasadikuppam PRJ NL-S-CSR-239</t>
  </si>
  <si>
    <t>OHT in Arasadikuppam</t>
  </si>
  <si>
    <t>NL-S-CSR-239</t>
  </si>
  <si>
    <t>6*  Borewell for Mumudic PRJ NL-S-CSR-240</t>
  </si>
  <si>
    <t>Borewell for Mumudic</t>
  </si>
  <si>
    <t>NL-S-CSR-240</t>
  </si>
  <si>
    <t>6*  OHT for Annagramam e PRJ NL-S-CSR-241</t>
  </si>
  <si>
    <t>OHT for Annagramam e</t>
  </si>
  <si>
    <t>NL-S-CSR-241</t>
  </si>
  <si>
    <t>6*  OHT for Vegakollai V PRJ NL-S-CSR-242</t>
  </si>
  <si>
    <t>OHT for Vegakollai V</t>
  </si>
  <si>
    <t>NL-S-CSR-242</t>
  </si>
  <si>
    <t>6*  OHT,Borewell in Kilp PRJ NL-S-CSR-243</t>
  </si>
  <si>
    <t>OHT,Borewell in Kilp</t>
  </si>
  <si>
    <t>NL-S-CSR-243</t>
  </si>
  <si>
    <t>6*  OHT,BW&amp;Comp.Wall - s PRJ NL-S-CSR-244</t>
  </si>
  <si>
    <t>OHT,BW&amp;Comp.Wall - s</t>
  </si>
  <si>
    <t>NL-S-CSR-244</t>
  </si>
  <si>
    <t>6*  Borewell for Vanathi PRJ NL-S-CSR-245</t>
  </si>
  <si>
    <t>Borewell for Vanathi</t>
  </si>
  <si>
    <t>NL-S-CSR-245</t>
  </si>
  <si>
    <t>6*  Borewell in East Str PRJ NL-S-CSR-246</t>
  </si>
  <si>
    <t>Borewell in East Str</t>
  </si>
  <si>
    <t>NL-S-CSR-246</t>
  </si>
  <si>
    <t>6*  solar water pumps,Jh PRJ NL-S-CSR-247</t>
  </si>
  <si>
    <t>solar water pumps,Jh</t>
  </si>
  <si>
    <t>NL-S-CSR-247</t>
  </si>
  <si>
    <t>6*  2 toilet blocks,ward PRJ NL-S-CSR-248</t>
  </si>
  <si>
    <t>2 toilet blocks,ward</t>
  </si>
  <si>
    <t>NL-S-CSR-248</t>
  </si>
  <si>
    <t>6*  Toilet Block,NMJ Sch PRJ NL-S-CSR-249</t>
  </si>
  <si>
    <t>Toilet Block,NMJ Sch</t>
  </si>
  <si>
    <t>NL-S-CSR-249</t>
  </si>
  <si>
    <t>6*  Toilet block GHSS,Ma PRJ NL-S-CSR-250</t>
  </si>
  <si>
    <t>Toilet block GHSS,Ma</t>
  </si>
  <si>
    <t>NL-S-CSR-250</t>
  </si>
  <si>
    <t>6*  Toilet block for gir PRJ NL-S-CSR-251</t>
  </si>
  <si>
    <t>Toilet block for gir</t>
  </si>
  <si>
    <t>NL-S-CSR-251</t>
  </si>
  <si>
    <t>6*  Toilet for Tholkappi PRJ NL-S-CSR-252</t>
  </si>
  <si>
    <t>Toilet for Tholkappi</t>
  </si>
  <si>
    <t>NL-S-CSR-252</t>
  </si>
  <si>
    <t>6*  Incinerator for Gov  PRJ NL-S-CSR-253</t>
  </si>
  <si>
    <t>Incinerator for Gov</t>
  </si>
  <si>
    <t>NL-S-CSR-253</t>
  </si>
  <si>
    <t>6*  Toilet block for HAM PRJ NL-S-CSR-254</t>
  </si>
  <si>
    <t>Toilet block for HAM</t>
  </si>
  <si>
    <t>NL-S-CSR-254</t>
  </si>
  <si>
    <t>6*  Toilet block in GHSS PRJ NL-S-CSR-255</t>
  </si>
  <si>
    <t>Toilet block in GHSS</t>
  </si>
  <si>
    <t>NL-S-CSR-255</t>
  </si>
  <si>
    <t>6*  Toilet block for PUP PRJ NL-S-CSR-256</t>
  </si>
  <si>
    <t>Toilet block for PUP</t>
  </si>
  <si>
    <t>NL-S-CSR-256</t>
  </si>
  <si>
    <t>6*  Toilet  for PUPS,Ind PRJ NL-S-CSR-257</t>
  </si>
  <si>
    <t>Toilet  for PUPS,Ind</t>
  </si>
  <si>
    <t>NL-S-CSR-257</t>
  </si>
  <si>
    <t>6*  Toilet blocks for Go PRJ NL-S-CSR-258</t>
  </si>
  <si>
    <t>Toilet blocks for Go</t>
  </si>
  <si>
    <t>NL-S-CSR-258</t>
  </si>
  <si>
    <t>6*  Toilet for PUMS, The PRJ NL-S-CSR-259</t>
  </si>
  <si>
    <t>Toilet for PUMS, The</t>
  </si>
  <si>
    <t>NL-S-CSR-259</t>
  </si>
  <si>
    <t>6*  Hygiene&amp;Health Care  PRJ NL-S-CSR-260</t>
  </si>
  <si>
    <t>Hygiene&amp;Health Care</t>
  </si>
  <si>
    <t>NL-S-CSR-260</t>
  </si>
  <si>
    <t>6*  Garbage collection v PRJ NL-S-CSR-261</t>
  </si>
  <si>
    <t>Garbage collection v</t>
  </si>
  <si>
    <t>NL-S-CSR-261</t>
  </si>
  <si>
    <t>6*  Construction of publ PRJ NL-S-CSR-262</t>
  </si>
  <si>
    <t>Construction of publ</t>
  </si>
  <si>
    <t>NL-S-CSR-262</t>
  </si>
  <si>
    <t>6*  waste collection equ PRJ NL-S-CSR-263</t>
  </si>
  <si>
    <t>waste collection equ</t>
  </si>
  <si>
    <t>NL-S-CSR-263</t>
  </si>
  <si>
    <t>6*  Swachhata activities PRJ NL-S-CSR-264</t>
  </si>
  <si>
    <t>NL-S-CSR-264</t>
  </si>
  <si>
    <t>6*  Auditorium in Periya PRJ NL-S-CSR-265</t>
  </si>
  <si>
    <t>Auditorium in Periya</t>
  </si>
  <si>
    <t>NL-S-CSR-265</t>
  </si>
  <si>
    <t>6*  4 class room for Gov PRJ NL-S-CSR-266</t>
  </si>
  <si>
    <t>4 class room for Gov</t>
  </si>
  <si>
    <t>NL-S-CSR-266</t>
  </si>
  <si>
    <t>6*  Van etc-PMS HSS,S&amp;H  PRJ NL-S-CSR-267</t>
  </si>
  <si>
    <t>Van etc-PMS HSS,S&amp;H</t>
  </si>
  <si>
    <t>NL-S-CSR-267</t>
  </si>
  <si>
    <t>6*  Cycle stand for Mela PRJ NL-S-CSR-268</t>
  </si>
  <si>
    <t>Cycle stand for Mela</t>
  </si>
  <si>
    <t>NL-S-CSR-268</t>
  </si>
  <si>
    <t>6*  Tiles - classroom,GH PRJ NL-S-CSR-269</t>
  </si>
  <si>
    <t>Tiles - classroom,GH</t>
  </si>
  <si>
    <t>NL-S-CSR-269</t>
  </si>
  <si>
    <t>6*  Tution fee for JSC S PRJ NL-S-CSR-270</t>
  </si>
  <si>
    <t>Tution fee for JSC S</t>
  </si>
  <si>
    <t>NL-S-CSR-270</t>
  </si>
  <si>
    <t>6*  Awareness, motivatio PRJ NL-S-CSR-271</t>
  </si>
  <si>
    <t>Awareness, motivatio</t>
  </si>
  <si>
    <t>NL-S-CSR-271</t>
  </si>
  <si>
    <t>6*  Promoting Education, PRJ NL-S-CSR-272</t>
  </si>
  <si>
    <t>Promoting Education,</t>
  </si>
  <si>
    <t>NL-S-CSR-272</t>
  </si>
  <si>
    <t>6*  Educational Assistan PRJ NL-S-CSR-273</t>
  </si>
  <si>
    <t>NL-S-CSR-273</t>
  </si>
  <si>
    <t>6*  Smart class for Govt PRJ NL-S-CSR-274</t>
  </si>
  <si>
    <t>Smart class for Govt</t>
  </si>
  <si>
    <t>NL-S-CSR-274</t>
  </si>
  <si>
    <t>6*  Sponsoring PAPs ward PRJ NL-S-CSR-275</t>
  </si>
  <si>
    <t>Sponsoring PAPs ward</t>
  </si>
  <si>
    <t>NL-S-CSR-275</t>
  </si>
  <si>
    <t>6*  Scholarships to girl PRJ NL-S-CSR-276</t>
  </si>
  <si>
    <t>Scholarships to girl</t>
  </si>
  <si>
    <t>NL-S-CSR-276</t>
  </si>
  <si>
    <t>6*  School kits, Beti Pa PRJ NL-S-CSR-277</t>
  </si>
  <si>
    <t>School kits, Beti Pa</t>
  </si>
  <si>
    <t>NL-S-CSR-277</t>
  </si>
  <si>
    <t>6*  Classroom in GovPS B PRJ NL-S-CSR-278</t>
  </si>
  <si>
    <t>Classroom in GovPS B</t>
  </si>
  <si>
    <t>NL-S-CSR-278</t>
  </si>
  <si>
    <t>6*  Classroom Gov SSS, B PRJ NL-S-CSR-279</t>
  </si>
  <si>
    <t>Classroom Gov SSS, B</t>
  </si>
  <si>
    <t>NL-S-CSR-279</t>
  </si>
  <si>
    <t>6*  Library in Bithnok   PRJ NL-S-CSR-280</t>
  </si>
  <si>
    <t>Library in Bithnok</t>
  </si>
  <si>
    <t>NL-S-CSR-280</t>
  </si>
  <si>
    <t>6*  Addl. classrooms etc PRJ NL-S-CSR-281</t>
  </si>
  <si>
    <t>Addl. classrooms etc</t>
  </si>
  <si>
    <t>NL-S-CSR-281</t>
  </si>
  <si>
    <t>6*  Infra. @Govt. school PRJ NL-S-CSR-282</t>
  </si>
  <si>
    <t>Infra. @Govt. school</t>
  </si>
  <si>
    <t>NL-S-CSR-282</t>
  </si>
  <si>
    <t>6*  Classroom in Gov SSS PRJ NL-S-CSR-283</t>
  </si>
  <si>
    <t>Classroom in Gov SSS</t>
  </si>
  <si>
    <t>NL-S-CSR-283</t>
  </si>
  <si>
    <t>6*  Classroom etc-Gov SS PRJ NL-S-CSR-284</t>
  </si>
  <si>
    <t>Classroom etc-Gov SS</t>
  </si>
  <si>
    <t>NL-S-CSR-284</t>
  </si>
  <si>
    <t>6*  Library @ Ummaram ki PRJ NL-S-CSR-285</t>
  </si>
  <si>
    <t>Library @ Ummaram ki</t>
  </si>
  <si>
    <t>NL-S-CSR-285</t>
  </si>
  <si>
    <t>6*  Library in Pithrasar PRJ NL-S-CSR-286</t>
  </si>
  <si>
    <t>Library in Pithrasar</t>
  </si>
  <si>
    <t>NL-S-CSR-286</t>
  </si>
  <si>
    <t>6*  FA to SOS, Neyveli   PRJ NL-S-CSR-287</t>
  </si>
  <si>
    <t>FA to SOS, Neyveli</t>
  </si>
  <si>
    <t>NL-S-CSR-287</t>
  </si>
  <si>
    <t>6*  Skill Development tr PRJ NL-S-CSR-288</t>
  </si>
  <si>
    <t>Skill Development tr</t>
  </si>
  <si>
    <t>NL-S-CSR-288</t>
  </si>
  <si>
    <t>6*  Upgradation faciliti PRJ NL-S-CSR-289</t>
  </si>
  <si>
    <t>Upgradation faciliti</t>
  </si>
  <si>
    <t>NL-S-CSR-289</t>
  </si>
  <si>
    <t>6*  Skill enhancing/empl PRJ NL-S-CSR-290</t>
  </si>
  <si>
    <t>Skill enhancing/empl</t>
  </si>
  <si>
    <t>NL-S-CSR-290</t>
  </si>
  <si>
    <t>6*  Roofing etc for VCT- PRJ NL-S-CSR-291</t>
  </si>
  <si>
    <t>Roofing etc for VCT-</t>
  </si>
  <si>
    <t>NL-S-CSR-291</t>
  </si>
  <si>
    <t>6*  FA NeyamVeterinaryWe PRJ NL-S-CSR-292</t>
  </si>
  <si>
    <t>FA NeyamVeterinaryWe</t>
  </si>
  <si>
    <t>NL-S-CSR-292</t>
  </si>
  <si>
    <t>6*  Swamy Sagajanantha M PRJ NL-S-CSR-293</t>
  </si>
  <si>
    <t>Swamy Sagajanantha M</t>
  </si>
  <si>
    <t>NL-S-CSR-293</t>
  </si>
  <si>
    <t>6*  Camel festival Janua PRJ NL-S-CSR-294</t>
  </si>
  <si>
    <t>Camel festival Janua</t>
  </si>
  <si>
    <t>NL-S-CSR-294</t>
  </si>
  <si>
    <t>6*  FA to  Armed Forces  PRJ NL-S-CSR-295</t>
  </si>
  <si>
    <t>FA to  Armed Forces</t>
  </si>
  <si>
    <t>NL-S-CSR-295</t>
  </si>
  <si>
    <t>6*  Upgradation of Gym,S PRJ NL-S-CSR-296</t>
  </si>
  <si>
    <t>Upgradation of Gym,S</t>
  </si>
  <si>
    <t>NL-S-CSR-296</t>
  </si>
  <si>
    <t>6*  Sports meet, Bikaner PRJ NL-S-CSR-297</t>
  </si>
  <si>
    <t>Sports meet, Bikaner</t>
  </si>
  <si>
    <t>NL-S-CSR-297</t>
  </si>
  <si>
    <t>6*  Cement Road in Kovil PRJ NL-S-CSR-298</t>
  </si>
  <si>
    <t>Cement Road in Kovil</t>
  </si>
  <si>
    <t>NL-S-CSR-298</t>
  </si>
  <si>
    <t>6*  Pudukoorapetai Road  PRJ NL-S-CSR-299</t>
  </si>
  <si>
    <t>Pudukoorapetai Road</t>
  </si>
  <si>
    <t>NL-S-CSR-299</t>
  </si>
  <si>
    <t>6*  Leveling of hilly, s PRJ NL-S-CSR-300</t>
  </si>
  <si>
    <t>Leveling of hilly, s</t>
  </si>
  <si>
    <t>NL-S-CSR-300</t>
  </si>
  <si>
    <t>6*  Retaining wall, Vada PRJ NL-S-CSR-301</t>
  </si>
  <si>
    <t>Retaining wall, Vada</t>
  </si>
  <si>
    <t>NL-S-CSR-301</t>
  </si>
  <si>
    <t>6*  Checkdam@Periya Odai PRJ NL-S-CSR-302</t>
  </si>
  <si>
    <t>Checkdam@Periya Odai</t>
  </si>
  <si>
    <t>NL-S-CSR-302</t>
  </si>
  <si>
    <t>6*  Flood protection wor PRJ NL-S-CSR-303</t>
  </si>
  <si>
    <t>Flood protection wor</t>
  </si>
  <si>
    <t>NL-S-CSR-303</t>
  </si>
  <si>
    <t>6*  Desilting/renovation PRJ NL-S-CSR-304</t>
  </si>
  <si>
    <t>Desilting/renovation</t>
  </si>
  <si>
    <t>NL-S-CSR-304</t>
  </si>
  <si>
    <t>6*  Mangalampet, Roobana PRJ NL-S-CSR-305</t>
  </si>
  <si>
    <t>Mangalampet, Roobana</t>
  </si>
  <si>
    <t>NL-S-CSR-305</t>
  </si>
  <si>
    <t>6*  Regular Activities o PRJ NL-S-CSR-306</t>
  </si>
  <si>
    <t>Regular Activities o</t>
  </si>
  <si>
    <t>NL-S-CSR-306</t>
  </si>
  <si>
    <t>6*  600 MW Solar Khavda  PRJ NR-C-SOL-001</t>
  </si>
  <si>
    <t>600 MW Solar Khavda</t>
  </si>
  <si>
    <t>NR-C-SOL-001</t>
  </si>
  <si>
    <t>6*  NIRL 600 MW Solar Po PRJ NR-C-SOL-002</t>
  </si>
  <si>
    <t>NIRL 600 MW Solar Po</t>
  </si>
  <si>
    <t>NR-C-SOL-002</t>
  </si>
  <si>
    <t>6*  NTPL Thermal Project PRJ NT-C-NTP-002</t>
  </si>
  <si>
    <t>NTPL Thermal Project</t>
  </si>
  <si>
    <t>NT-C-NTP-002</t>
  </si>
  <si>
    <t>6*  NTPL Flue Gas Desulp PRJ NT-C-NTP-003</t>
  </si>
  <si>
    <t>NTPL Flue Gas Desulp</t>
  </si>
  <si>
    <t>NT-C-NTP-003</t>
  </si>
  <si>
    <t>6*  NTPL Capital Spares  PRJ NT-M-NTP-001</t>
  </si>
  <si>
    <t>NTPL Capital Spares</t>
  </si>
  <si>
    <t>NT-M-NTP-001</t>
  </si>
  <si>
    <t>6*  NTPL Non-Plan CAPEX  PRJ NT-N-NTP-001</t>
  </si>
  <si>
    <t>NTPL Non-Plan CAPEX</t>
  </si>
  <si>
    <t>NT-N-NTP-001</t>
  </si>
  <si>
    <t>6*  NTPL Non-plan CAPEX  PRJ NT-N-NTP-002</t>
  </si>
  <si>
    <t>NTPL Non-plan CAPEX</t>
  </si>
  <si>
    <t>NT-N-NTP-002</t>
  </si>
  <si>
    <t>6*  NTPL Non-Plan CAPEX  PRJ NT-N-NTP-003</t>
  </si>
  <si>
    <t>NT-N-NTP-003</t>
  </si>
  <si>
    <t>6*  NTPL Non-Plan CAPEX  PRJ NT-N-NTP-004</t>
  </si>
  <si>
    <t>NT-N-NTP-004</t>
  </si>
  <si>
    <t>6*  NTPL Non-Plan CAPEX  PRJ NT-N-NTP-005</t>
  </si>
  <si>
    <t>NT-N-NTP-005</t>
  </si>
  <si>
    <t>6*  NTPL MOH Unit-I FY20 PRJ NT-O-NTP-001</t>
  </si>
  <si>
    <t>NTPL MOH Unit-I FY20</t>
  </si>
  <si>
    <t>NT-O-NTP-001</t>
  </si>
  <si>
    <t>6*  NTPL CSR Projects    PRJ NT-S-NTP-001</t>
  </si>
  <si>
    <t>NTPL CSR Projects</t>
  </si>
  <si>
    <t>NT-S-NTP-001</t>
  </si>
  <si>
    <t>6*  NUPPL Thermal Projec PRJ NU-C-GTP-001</t>
  </si>
  <si>
    <t>NUPPL Thermal Projec</t>
  </si>
  <si>
    <t>NU-C-GTP-001</t>
  </si>
  <si>
    <t>6*  NUPPL Thermal Projec PRJ NU-C-GTP-003</t>
  </si>
  <si>
    <t>NU-C-GTP-003</t>
  </si>
  <si>
    <t>6*  PSCB Mines           PRJ NU-C-MPS-001</t>
  </si>
  <si>
    <t>PSCB Mines</t>
  </si>
  <si>
    <t>NU-C-MPS-001</t>
  </si>
  <si>
    <t>6*  PSCB Feasibility Pro PRJ NU-F-MPS-001</t>
  </si>
  <si>
    <t>PSCB Feasibility Pro</t>
  </si>
  <si>
    <t>NU-F-MPS-001</t>
  </si>
  <si>
    <t>Plan</t>
  </si>
  <si>
    <t>Variance</t>
  </si>
  <si>
    <t>Var %</t>
  </si>
  <si>
    <t>6*  PRJ NL-C-BSP-001               300 MW Solar Power P</t>
  </si>
  <si>
    <t>6*  PRJ NL-C-CRD-002               Lignite to disel cap</t>
  </si>
  <si>
    <t>6*  PRJ NL-C-CRD-003               CARD-IITM-Developmen</t>
  </si>
  <si>
    <t>6*  PRJ NL-C-CRD-004               CAPEX PROJECT FOR CA</t>
  </si>
  <si>
    <t>6*  PRJ NL-C-KSP-001               Khavda Solar Power P</t>
  </si>
  <si>
    <t>6*  PRJ NL-C-LAQ-001               Land Acquisiton Plan</t>
  </si>
  <si>
    <t>6*  PRJ NL-C-MIA-001               EXPANSION OF MINE-IA</t>
  </si>
  <si>
    <t>6*  PRJ NL-C-MN1-001               Mine 1 Capex Project</t>
  </si>
  <si>
    <t>6*  PRJ NL-C-MN3-001               Mines III Capex Proj</t>
  </si>
  <si>
    <t>6*  PRJ NL-C-MTL-001               Talabira II &amp; III OC</t>
  </si>
  <si>
    <t>6*  PRJ NL-C-MTL-002               Talabira II &amp; III OC</t>
  </si>
  <si>
    <t>6*  PRJ NL-C-NNT-001               NNTPP CAPEX PROJECT</t>
  </si>
  <si>
    <t>6*  PRJ NL-C-NNT-002               NNTPP Flue Gas Desul</t>
  </si>
  <si>
    <t>6*  PRJ NL-C-NPS-001               New Patrapara South</t>
  </si>
  <si>
    <t>6*  PRJ NL-C-PBD-002               Neyveli 2x65 MW Sola</t>
  </si>
  <si>
    <t>6*  PRJ NL-C-SOL-001               Solar 10 MW Power Pr</t>
  </si>
  <si>
    <t>6*  PRJ NL-C-SOL-002               Solar 50 MW in Mine</t>
  </si>
  <si>
    <t>6*  PRJ NL-C-SOL-003               200 MW Solar Power G</t>
  </si>
  <si>
    <t>6*  PRJ NL-C-SOL-004               100 MW SOLAR (HYBRID</t>
  </si>
  <si>
    <t>6*  PRJ NL-C-T22-001               TPS2 Second Expansio</t>
  </si>
  <si>
    <t>6*  PRJ NL-C-T2E-001               Performance Improvem</t>
  </si>
  <si>
    <t>6*  PRJ NL-C-TAA-001               Mini Smart City</t>
  </si>
  <si>
    <t>6*  PRJ NL-C-TPP-001               NLC Talabira Thermal</t>
  </si>
  <si>
    <t>6*  PRJ NL-C-TPP-002               NLC TTPP Main Packag</t>
  </si>
  <si>
    <t>6*  PRJ NL-C-TS1-001               TS I Switchyard Modi</t>
  </si>
  <si>
    <t>6*  PRJ NL-C-WND-001               Wind Turbine Project</t>
  </si>
  <si>
    <t>6*  PRJ NL-C-WND-002               50 MW Wind Project</t>
  </si>
  <si>
    <t>6*  PRJ NL-F-MAC-001               MACHHAKATA (REVISED)</t>
  </si>
  <si>
    <t>6*  PRJ NL-F-NDM-001               North Dhadu (Western</t>
  </si>
  <si>
    <t>6*  PRJ NL-M-BMN-001               Barsingsar Mines Cap</t>
  </si>
  <si>
    <t>6*  PRJ NL-M-M1A-001               Mine 1A Capital Mate</t>
  </si>
  <si>
    <t>6*  PRJ NL-M-MES-001               Mech. Services Capit</t>
  </si>
  <si>
    <t>6*  PRJ NL-M-MN1-001               Mine 1 Capital Mater</t>
  </si>
  <si>
    <t>6*  PRJ NL-M-MN2-001               Mine 2 Capital Mater</t>
  </si>
  <si>
    <t>6*  PRJ NL-M-NNT-001               NNTP Capital Materia</t>
  </si>
  <si>
    <t>6*  PRJ NL-M-PRO-001               PRO Material Project</t>
  </si>
  <si>
    <t>6*  PRJ NL-M-SFT-001               Safety Capital Mater</t>
  </si>
  <si>
    <t>6*  PRJ NL-M-T2E-001               TPS2Exp - Capital Ma</t>
  </si>
  <si>
    <t>6*  PRJ NL-N-BSP-001-01            Barsingsar Thermal N</t>
  </si>
  <si>
    <t>NL-N-BSP-001</t>
  </si>
  <si>
    <t>-01            Barsingsar Thermal N</t>
  </si>
  <si>
    <t>6*  PRJ NL-N-CES-001               Central Establishmen</t>
  </si>
  <si>
    <t>6*  PRJ NL-N-CES-002               Manager Corporate Of</t>
  </si>
  <si>
    <t>6*  PRJ NL-N-CIS-001               CISF Non-Plan CapEx</t>
  </si>
  <si>
    <t>6*  PRJ NL-N-COM-001               Computer Services No</t>
  </si>
  <si>
    <t>6*  PRJ NL-N-CON-001               Corporate Contracts</t>
  </si>
  <si>
    <t>6*  PRJ NL-N-CRD-001               CARD/ Disposal/ MM N</t>
  </si>
  <si>
    <t>6*  PRJ NL-N-CWS-001               Central Workshop Non</t>
  </si>
  <si>
    <t>6*  PRJ NL-N-EDU-001               Education Non-Plan C</t>
  </si>
  <si>
    <t>6*  PRJ NL-N-ENC-001               Electrical &amp;Communic</t>
  </si>
  <si>
    <t>6*  PRJ NL-N-FIN-001               Corporate Finance No</t>
  </si>
  <si>
    <t>6*  PRJ NL-N-GEO-001               Geology Non Plan CAP</t>
  </si>
  <si>
    <t>6*  PRJ NL-N-GHO-001               GH Non Plan CAPEX 20</t>
  </si>
  <si>
    <t>6*  PRJ NL-N-IEC-001               IE Wing Non Plan Cap</t>
  </si>
  <si>
    <t>6*  PRJ NL-N-LAQ-001               Land Acquisition Non</t>
  </si>
  <si>
    <t>6*  PRJ NL-N-LDC-001               Learning and Develop</t>
  </si>
  <si>
    <t>6*  PRJ NL-N-M1A-001               MINE- IA Non Plan CA</t>
  </si>
  <si>
    <t>6*  PRJ NL-N-MBR-001               Barsingsar- Mines No</t>
  </si>
  <si>
    <t>6*  PRJ NL-N-MCO-001               MCO Non-Plan CapEx</t>
  </si>
  <si>
    <t>6*  PRJ NL-N-MES-001               Mechanical Services</t>
  </si>
  <si>
    <t>6*  PRJ NL-N-MIS-001               Management Services</t>
  </si>
  <si>
    <t>6*  PRJ NL-N-MMC-001               MMC Non-Plan CAPEX 2</t>
  </si>
  <si>
    <t>6*  PRJ NL-N-MN1-001               MINE- I Non Plan CAP</t>
  </si>
  <si>
    <t>6*  PRJ NL-N-MN2-001               MINE- II Non Plan CA</t>
  </si>
  <si>
    <t>6*  PRJ NL-N-NNT-001               NNTPP Non Plan CAPEX</t>
  </si>
  <si>
    <t>6*  PRJ NL-N-OSM-001               OSMG Non Plan CAPEX</t>
  </si>
  <si>
    <t>6*  PRJ NL-N-PBD-001               P &amp; BD Non-Plan CapE</t>
  </si>
  <si>
    <t>6*  PRJ NL-N-PRO-001               PRO Non-Plan CapEx</t>
  </si>
  <si>
    <t>6*  PRJ NL-N-PSE-001               Power Station Engg.</t>
  </si>
  <si>
    <t>6*  PRJ NL-N-PST-001               Power Station Traini</t>
  </si>
  <si>
    <t>6*  PRJ NL-N-REP-001               Renewable Power Proj</t>
  </si>
  <si>
    <t>6*  PRJ NL-N-ROC-001               RMO Chennai Non Plan</t>
  </si>
  <si>
    <t>6*  PRJ NL-N-SFT-001               Safety Non Plan CAPE</t>
  </si>
  <si>
    <t>6*  PRJ NL-N-SOL-001               10MW Solar Power Pla</t>
  </si>
  <si>
    <t>6*  PRJ NL-N-T1E-001               TPS-I Exp Non Plan C</t>
  </si>
  <si>
    <t>6*  PRJ NL-N-T2E-001               TPS2Exp - Non Plan C</t>
  </si>
  <si>
    <t>6*  PRJ NL-N-TAA-001               TA Non Plan CAPEX</t>
  </si>
  <si>
    <t>6*  PRJ NL-N-TAA-002               TA Non-Plan CapEx Op</t>
  </si>
  <si>
    <t>6*  PRJ NL-N-TAA-003               TA Non-Plan Capital</t>
  </si>
  <si>
    <t>6*  PRJ NL-N-TRN-001               Transport Non Plan C</t>
  </si>
  <si>
    <t>6*  PRJ NL-N-TS1-001               TPS- I Non Plan CAPE</t>
  </si>
  <si>
    <t>6*  PRJ NL-N-TS2-001               TPS-II Non Plan CAPE</t>
  </si>
  <si>
    <t>6*  PRJ NL-N-TS2-002               TPS-II LEP Stage I &amp;</t>
  </si>
  <si>
    <t>6*  PRJ NL-N-VIG-001               Vigilance Non-Plan C</t>
  </si>
  <si>
    <t>6*  PRJ NL-O-TS2-001               TS2 Unit 3 Annual Mt</t>
  </si>
  <si>
    <t>6*  PRJ NL-S-CSR-001               NLC CSR Projects 201</t>
  </si>
  <si>
    <t>6*  PRJ NL-S-CSR-003               CSR Master Project 2</t>
  </si>
  <si>
    <t>6*  PRJ NL-S-CSR-005               CSR Administrative O</t>
  </si>
  <si>
    <t>6*  PRJ NL-S-CSR-007               CSR PBD Proc thro GE</t>
  </si>
  <si>
    <t>6*  PRJ NL-S-CSR-008               O2 Plants in Tamilna</t>
  </si>
  <si>
    <t>6*  PRJ NL-S-CSR-009               O2 Plants in Karnata</t>
  </si>
  <si>
    <t>6*  PRJ NL-S-CSR-010               O2 Plants in Rajasth</t>
  </si>
  <si>
    <t>6*  PRJ NL-S-CSR-011               O2 Plants in Odisha</t>
  </si>
  <si>
    <t>6*  PRJ NL-S-CSR-012               O2 Concentrators in</t>
  </si>
  <si>
    <t>6*  PRJ NL-S-CSR-013               O2 Concentrators in</t>
  </si>
  <si>
    <t>6*  PRJ NL-S-CSR-017               Hired BLS Ambulance</t>
  </si>
  <si>
    <t>6*  PRJ NL-S-CSR-018               Mask,Sanitizer,Soap</t>
  </si>
  <si>
    <t>6*  PRJ NL-S-CSR-019               Sanitizer,Soap Soln</t>
  </si>
  <si>
    <t>6*  PRJ NL-S-CSR-020               CC Eqpmt Andaman Nic</t>
  </si>
  <si>
    <t>6*  PRJ NL-S-CSR-021               SERI PPE kits to Cud</t>
  </si>
  <si>
    <t>6*  PRJ NL-S-CSR-022               Santhigiri Ashram- C</t>
  </si>
  <si>
    <t>6*  PRJ NL-S-CSR-023               PPE Kits to GH - Kat</t>
  </si>
  <si>
    <t>6*  PRJ NL-S-CSR-024               COVID 19 Measures FD</t>
  </si>
  <si>
    <t>6*  PRJ NL-S-CSR-027               Medical Camps</t>
  </si>
  <si>
    <t>6*  PRJ NL-S-CSR-028               Swachhta Packwada ac</t>
  </si>
  <si>
    <t>6*  PRJ NL-S-CSR-029               Nutritional Support</t>
  </si>
  <si>
    <t>6*  PRJ NL-S-CSR-030               Posak - HIV+ve Socie</t>
  </si>
  <si>
    <t>6*  PRJ NL-S-CSR-031               Food Supliments to O</t>
  </si>
  <si>
    <t>6*  PRJ NL-S-CSR-032               Food Supp. Annai Ter</t>
  </si>
  <si>
    <t>6*  PRJ NL-S-CSR-033               Trauma Care Centre a</t>
  </si>
  <si>
    <t>6*  PRJ NL-S-CSR-035               Beti Bachao Scheme,</t>
  </si>
  <si>
    <t>6*  PRJ NL-S-CSR-036               Medical Camps at Bar</t>
  </si>
  <si>
    <t>6*  PRJ NL-S-CSR-037               Medical Services on</t>
  </si>
  <si>
    <t>6*  PRJ NL-S-CSR-038               2Nos of RCC OHT at K</t>
  </si>
  <si>
    <t>6*  PRJ NL-S-CSR-039               Railway toilets by R</t>
  </si>
  <si>
    <t>6*  PRJ NL-S-CSR-040               Hygiene and Healthca</t>
  </si>
  <si>
    <t>6*  PRJ NL-S-CSR-041               Education Support Se</t>
  </si>
  <si>
    <t>6*  PRJ NL-S-CSR-042               Beti Padhao Scheme B</t>
  </si>
  <si>
    <t>6*  PRJ NL-S-CSR-043               Scholarship for Girl</t>
  </si>
  <si>
    <t>6*  PRJ NL-S-CSR-044               Tution Fees for SC,</t>
  </si>
  <si>
    <t>6*  PRJ NL-S-CSR-045               Educational Assistan</t>
  </si>
  <si>
    <t>6*  PRJ NL-S-CSR-046               Educational promotio</t>
  </si>
  <si>
    <t>6*  PRJ NL-S-CSR-047               Educational Assistan</t>
  </si>
  <si>
    <t>6*  PRJ NL-S-CSR-048               Financial Assistance</t>
  </si>
  <si>
    <t>6*  PRJ NL-S-CSR-049               Fin. Asst. Sarada Ni</t>
  </si>
  <si>
    <t>6*  PRJ NL-S-CSR-050               Skill Development fo</t>
  </si>
  <si>
    <t>6*  PRJ NL-S-CSR-051               Fin. Asst. Gram Vika</t>
  </si>
  <si>
    <t>6*  PRJ NL-S-CSR-053               Conducting of sports</t>
  </si>
  <si>
    <t>6*  PRJ NL-S-CSR-054               Fin. Asst. to Olympi</t>
  </si>
  <si>
    <t>6*  PRJ NL-S-CSR-056               Janapravesh by NLC B</t>
  </si>
  <si>
    <t>6*  PRJ NL-S-CSR-058               Administrative Overh</t>
  </si>
  <si>
    <t>6*  PRJ NL-S-CSR-059               High School Transfor</t>
  </si>
  <si>
    <t>6*  PRJ NL-S-CSR-060               Swachhta Activities</t>
  </si>
  <si>
    <t>6*  PRJ NL-S-CSR-061               Lab equipments AU</t>
  </si>
  <si>
    <t>6*  PRJ NL-S-CSR-062               Facilities Diploma M</t>
  </si>
  <si>
    <t>6*  PRJ NL-S-CSR-063               Trauma Care Centre K</t>
  </si>
  <si>
    <t>6*  PRJ NL-S-CSR-064               TB Sanatorium GF Cud</t>
  </si>
  <si>
    <t>6*  PRJ NL-S-CSR-065               OHT Kannadi Village</t>
  </si>
  <si>
    <t>6*  PRJ NL-S-CSR-066               O2 Generator Shed TN</t>
  </si>
  <si>
    <t>6*  PRJ NL-S-CSR-067               Public Toilet Blocks</t>
  </si>
  <si>
    <t>6*  PRJ NL-S-CSR-068               FA Saradha Niketan C</t>
  </si>
  <si>
    <t>6*  PRJ NL-S-CSR-069               FATO Gram Vikas Soci</t>
  </si>
  <si>
    <t>6*  PRJ NL-S-CSR-070               AMC for BOV, RTS, SP</t>
  </si>
  <si>
    <t>6*  PRJ NL-S-CSR-072               Conducting Medical C</t>
  </si>
  <si>
    <t>6*  PRJ NL-S-CSR-073               Sneha Opportunity Sc</t>
  </si>
  <si>
    <t>6*  PRJ NL-S-CSR-074               FATO Athma Deepam So</t>
  </si>
  <si>
    <t>6*  PRJ NL-S-CSR-076               2 Class room Kollidu</t>
  </si>
  <si>
    <t>6*  PRJ NL-S-CSR-077               4 Class Room Kurinji</t>
  </si>
  <si>
    <t>6*  PRJ NL-S-CSR-078               Urgent Activities wi</t>
  </si>
  <si>
    <t>6*  PRJ NL-S-CSR-079               Blood Donation Camps</t>
  </si>
  <si>
    <t>6*  PRJ NL-S-CSR-080               Medical Camps Barsin</t>
  </si>
  <si>
    <t>6*  PRJ NL-S-CSR-081               OP Treament to Near</t>
  </si>
  <si>
    <t>6*  PRJ NL-S-CSR-084               Infrastructure at PH</t>
  </si>
  <si>
    <t>6*  PRJ NL-S-CSR-085               Nutrisional support-</t>
  </si>
  <si>
    <t>6*  PRJ NL-S-CSR-087               Medical Equipment fo</t>
  </si>
  <si>
    <t>6*  PRJ NL-S-CSR-088               OASIS &amp; Annai Theras</t>
  </si>
  <si>
    <t>6*  PRJ NL-S-CSR-089               Financial Asstance t</t>
  </si>
  <si>
    <t>6*  PRJ NL-S-CSR-090               FA2 Bharat Seva.Sang</t>
  </si>
  <si>
    <t>6*  PRJ NL-S-CSR-092               FA2 DSK Kottayam Ker</t>
  </si>
  <si>
    <t>6*  PRJ NL-S-CSR-093               Consumable&amp;Charges f</t>
  </si>
  <si>
    <t>6*  PRJ NL-S-CSR-094               FA to Sri Dhanvantha</t>
  </si>
  <si>
    <t>6*  PRJ NL-S-CSR-095               Improvement works Ba</t>
  </si>
  <si>
    <t>6*  PRJ NL-S-CSR-107               Hygiene &amp; Healthcare</t>
  </si>
  <si>
    <t>6*  PRJ NL-S-CSR-112               Awareness motivation</t>
  </si>
  <si>
    <t>6*  PRJ NL-S-CSR-113               1 std girl students</t>
  </si>
  <si>
    <t>6*  PRJ NL-S-CSR-114               Scholarship to girl</t>
  </si>
  <si>
    <t>6*  PRJ NL-S-CSR-115               Tution Fees SC,ST,OB</t>
  </si>
  <si>
    <t>6*  PRJ NL-S-CSR-116               Activities for promo</t>
  </si>
  <si>
    <t>6*  PRJ NL-S-CSR-117               Educational assistan</t>
  </si>
  <si>
    <t>6*  PRJ NL-S-CSR-119               Toilet blocks,smart</t>
  </si>
  <si>
    <t>6*  PRJ NL-S-CSR-120               Classrooms,toilets-</t>
  </si>
  <si>
    <t>6*  PRJ NL-S-CSR-122               FA JES for neyveli o</t>
  </si>
  <si>
    <t>6*  PRJ NL-S-CSR-126               Smartclass GS Kumbak</t>
  </si>
  <si>
    <t>6*  PRJ NL-S-CSR-128               Infrastructures to L</t>
  </si>
  <si>
    <t>6*  PRJ NL-S-CSR-130               FA Kasturba New Delh</t>
  </si>
  <si>
    <t>6*  PRJ NL-S-CSR-133               Skill development pr</t>
  </si>
  <si>
    <t>6*  PRJ NL-S-CSR-134               FA to VIKS Hyderabad</t>
  </si>
  <si>
    <t>6*  PRJ NL-S-CSR-135               Camel festival 2023</t>
  </si>
  <si>
    <t>6*  PRJ NL-S-CSR-137               Tokyo Olympics Jodhk</t>
  </si>
  <si>
    <t>6*  PRJ NL-S-CSR-139               Sports meet Bikaner</t>
  </si>
  <si>
    <t>6*  PRJ NL-S-CSR-141               13 wells Bhanpura vi</t>
  </si>
  <si>
    <t>6*  PRJ NL-S-CSR-143               Road repair work The</t>
  </si>
  <si>
    <t>6*  PRJ NL-S-CSR-146               Barsingsar-Udairamsa</t>
  </si>
  <si>
    <t>6*  PRJ NL-S-CSR-147               Boxculvert,Rcc vents</t>
  </si>
  <si>
    <t>6*  PRJ NL-S-CSR-151               Administrative Overh</t>
  </si>
  <si>
    <t>6*  PRJ NL-S-CSR-152               TraumaCare First Flo</t>
  </si>
  <si>
    <t>6*  PRJ NL-S-CSR-153               Upgradation of PHCs</t>
  </si>
  <si>
    <t>6*  PRJ NL-S-CSR-154               Imp. works Gov PHC C</t>
  </si>
  <si>
    <t>6*  PRJ NL-S-CSR-155               D.G.Set O2 plant  Vi</t>
  </si>
  <si>
    <t>6*  PRJ NL-S-CSR-157               Consumbales charges</t>
  </si>
  <si>
    <t>6*  PRJ NL-S-CSR-158               Tin shed water tank</t>
  </si>
  <si>
    <t>6*  PRJ NL-S-CSR-159               OHT &amp; Borewell U.Adh</t>
  </si>
  <si>
    <t>6*  PRJ NL-S-CSR-160                OHT Mummudicholagan</t>
  </si>
  <si>
    <t>6*  PRJ NL-S-CSR-161                OHT Borewell Vegako</t>
  </si>
  <si>
    <t>6*  PRJ NL-S-CSR-162               OHT borewell Seplant</t>
  </si>
  <si>
    <t>6*  PRJ NL-S-CSR-165               OHT Annavalli  Vazhi</t>
  </si>
  <si>
    <t>6*  PRJ NL-S-CSR-166               OHT ValliMaduram,Ma.</t>
  </si>
  <si>
    <t>6*  PRJ NL-S-CSR-167               Drinking water borew</t>
  </si>
  <si>
    <t>6*  PRJ NL-S-CSR-170               swachh iconic places</t>
  </si>
  <si>
    <t>6*  PRJ NL-S-CSR-172               Toilets @ Kattukudal</t>
  </si>
  <si>
    <t>6*  PRJ NL-S-CSR-173                6 toilet blocks aro</t>
  </si>
  <si>
    <t>6*  PRJ NL-S-CSR-175               2 classroom PUMS Paz</t>
  </si>
  <si>
    <t>6*  PRJ NL-S-CSR-176               4 classroom Gov BHSS</t>
  </si>
  <si>
    <t>6*  PRJ NL-S-CSR-178               Toilets tin shed hal</t>
  </si>
  <si>
    <t>6*  PRJ NL-S-CSR-179               clasroom Vanathiraya</t>
  </si>
  <si>
    <t>6*  PRJ NL-S-CSR-180               Library GHS Melakupp</t>
  </si>
  <si>
    <t>6*  PRJ NL-S-CSR-181               Reimb. purch Lab equ</t>
  </si>
  <si>
    <t>6*  PRJ NL-S-CSR-182               Toilet Clasroom GHS</t>
  </si>
  <si>
    <t>6*  PRJ NL-S-CSR-184               Fin support SSVMPS B</t>
  </si>
  <si>
    <t>6*  PRJ NL-S-CSR-185               Infrastructure Libra</t>
  </si>
  <si>
    <t>6*  PRJ NL-S-CSR-186               Infrastructure Middl</t>
  </si>
  <si>
    <t>6*  PRJ NL-S-CSR-188               2 clsroom PUMS Adaya</t>
  </si>
  <si>
    <t>6*  PRJ NL-S-CSR-189               infra Gov school, Sw</t>
  </si>
  <si>
    <t>6*  PRJ NL-S-CSR-190               Infra. GHSS Lalamdes</t>
  </si>
  <si>
    <t>6*  PRJ NL-S-CSR-191               Infra.Gov MahatmaGan</t>
  </si>
  <si>
    <t>6*  PRJ NL-S-CSR-192               FA Atma Deepam Socie</t>
  </si>
  <si>
    <t>6*  PRJ NL-S-CSR-193               FA VIKS Hyderabad</t>
  </si>
  <si>
    <t>6*  PRJ NL-S-CSR-194               FA Santhigiri Ashram</t>
  </si>
  <si>
    <t>6*  PRJ NL-S-CSR-195               Sewing Machines to W</t>
  </si>
  <si>
    <t>6*  PRJ NL-S-CSR-198               olympians Sirsa, Jod</t>
  </si>
  <si>
    <t>6*  PRJ NL-S-CSR-200               BT road to Bharathi</t>
  </si>
  <si>
    <t>6*  PRJ NL-S-CSR-202               Therkumelur to Vadal</t>
  </si>
  <si>
    <t>6*  PRJ NL-S-CSR-204               BT Road  Kunankurich</t>
  </si>
  <si>
    <t>6*  PRJ NL-S-CSR-205               Barsingsar-UdairamBy</t>
  </si>
  <si>
    <t>6*  PRJ NL-S-CSR-206               widening of Sengal O</t>
  </si>
  <si>
    <t>6*  PRJ NL-S-CSR-207               Baseline survey</t>
  </si>
  <si>
    <t>6*  PRJ NL-S-CSR-208               FA Gram Vikas Societ</t>
  </si>
  <si>
    <t>6*  PRJ NL-S-CSR-211               FA Aravinda Charitab</t>
  </si>
  <si>
    <t>6*  PRJ NL-S-CSR-212               urgent/new CSR Activ</t>
  </si>
  <si>
    <t>6*  PRJ NL-S-CSR-213               Poshak to HIV +Ve  S</t>
  </si>
  <si>
    <t>6*  PRJ NL-S-CSR-214               Blood Donation camp</t>
  </si>
  <si>
    <t>6*  PRJ NL-S-CSR-215               Year Long Swachhata</t>
  </si>
  <si>
    <t>6*  PRJ NL-S-CSR-220               Conducting Medical c</t>
  </si>
  <si>
    <t>6*  PRJ NL-S-CSR-221               HC PM Cmp public res</t>
  </si>
  <si>
    <t>6*  PRJ NL-S-CSR-222               Breakfast Scheme to</t>
  </si>
  <si>
    <t>6*  PRJ NL-S-CSR-225               Camps in Project aff</t>
  </si>
  <si>
    <t>6*  PRJ NL-S-CSR-227               Wheel chair etc in P</t>
  </si>
  <si>
    <t>6*  PRJ NL-S-CSR-228               Periodical health ch</t>
  </si>
  <si>
    <t>6*  PRJ NL-S-CSR-229               Beti Bachao scheme,</t>
  </si>
  <si>
    <t>6*  PRJ NL-S-CSR-230               Infra. development P</t>
  </si>
  <si>
    <t>6*  PRJ NL-S-CSR-238               OHT,Vadakumelur Panc</t>
  </si>
  <si>
    <t>6*  PRJ NL-S-CSR-241               OHT for Annagramam e</t>
  </si>
  <si>
    <t>6*  PRJ NL-S-CSR-242               OHT for Vegakollai V</t>
  </si>
  <si>
    <t>6*  PRJ NL-S-CSR-243               OHT,Borewell in Kilp</t>
  </si>
  <si>
    <t>6*  PRJ NL-S-CSR-255               Toilet block in GHSS</t>
  </si>
  <si>
    <t>6*  PRJ NL-S-CSR-260               Hygiene&amp;Health Care</t>
  </si>
  <si>
    <t>6*  PRJ NL-S-CSR-263               waste collection equ</t>
  </si>
  <si>
    <t>6*  PRJ NL-S-CSR-264               Swachhata activities</t>
  </si>
  <si>
    <t>6*  PRJ NL-S-CSR-267               Van etc-PMS HSS,S&amp;H</t>
  </si>
  <si>
    <t>6*  PRJ NL-S-CSR-269               Tiles - classroom,GH</t>
  </si>
  <si>
    <t>6*  PRJ NL-S-CSR-270               Tution fee for JSC S</t>
  </si>
  <si>
    <t>6*  PRJ NL-S-CSR-271               Awareness, motivatio</t>
  </si>
  <si>
    <t>6*  PRJ NL-S-CSR-272               Promoting Education,</t>
  </si>
  <si>
    <t>6*  PRJ NL-S-CSR-273               Educational Assistan</t>
  </si>
  <si>
    <t>6*  PRJ NL-S-CSR-274               Smart class for Govt</t>
  </si>
  <si>
    <t>6*  PRJ NL-S-CSR-276               Scholarships to girl</t>
  </si>
  <si>
    <t>6*  PRJ NL-S-CSR-277               School kits, Beti Pa</t>
  </si>
  <si>
    <t>6*  PRJ NL-S-CSR-278               Classroom in GovPS B</t>
  </si>
  <si>
    <t>6*  PRJ NL-S-CSR-279               Classroom Gov SSS, B</t>
  </si>
  <si>
    <t>6*  PRJ NL-S-CSR-280               Library in Bithnok</t>
  </si>
  <si>
    <t>6*  PRJ NL-S-CSR-281               Addl. classrooms etc</t>
  </si>
  <si>
    <t>6*  PRJ NL-S-CSR-282               Infra. @Govt. school</t>
  </si>
  <si>
    <t>6*  PRJ NL-S-CSR-283               Classroom in Gov SSS</t>
  </si>
  <si>
    <t>6*  PRJ NL-S-CSR-284               Classroom etc-Gov SS</t>
  </si>
  <si>
    <t>6*  PRJ NL-S-CSR-287               FA to SOS, Neyveli</t>
  </si>
  <si>
    <t>6*  PRJ NL-S-CSR-289               Upgradation faciliti</t>
  </si>
  <si>
    <t>6*  PRJ NL-S-CSR-292               FA NeyamVeterinaryWe</t>
  </si>
  <si>
    <t>6*  PRJ NL-S-CSR-293               Swamy Sagajanantha M</t>
  </si>
  <si>
    <t>6*  PRJ NL-S-CSR-294               Camel festival Janua</t>
  </si>
  <si>
    <t>6*  PRJ NL-S-CSR-295               FA to  Armed Forces</t>
  </si>
  <si>
    <t>6*  PRJ NL-S-CSR-296               Upgradation of Gym,S</t>
  </si>
  <si>
    <t>6*  PRJ NL-S-CSR-297               Sports meet, Bikaner</t>
  </si>
  <si>
    <t>6*  PRJ NL-S-CSR-302               Checkdam@Periya Odai</t>
  </si>
  <si>
    <t>6*  PRJ NL-S-CSR-303               Flood protection wor</t>
  </si>
  <si>
    <t>6*  PRJ NL-S-CSR-304               Desilting/renovation</t>
  </si>
  <si>
    <t>6*  PRJ NL-S-CSR-306               Regular Activities o</t>
  </si>
  <si>
    <t>6*  PRJ NR-C-SOL-002               NIRL 600 MW Solar Po</t>
  </si>
  <si>
    <t>6*  PRJ NT-C-NTP-002               NTPL Thermal Project</t>
  </si>
  <si>
    <t>6*  PRJ NT-C-NTP-003               NTPL Flue Gas Desulp</t>
  </si>
  <si>
    <t>6*  PRJ NT-M-NTP-001               NTPL Capital Spares</t>
  </si>
  <si>
    <t>6*  PRJ NT-N-NTP-001               NTPL Non-Plan CAPEX</t>
  </si>
  <si>
    <t>6*  PRJ NT-N-NTP-002               NTPL Non-plan CAPEX</t>
  </si>
  <si>
    <t>6*  PRJ NT-N-NTP-003               NTPL Non-Plan CAPEX</t>
  </si>
  <si>
    <t>6*  PRJ NT-N-NTP-004               NTPL Non-Plan CAPEX</t>
  </si>
  <si>
    <t>6*  PRJ NT-N-NTP-005               NTPL Non-Plan CAPEX</t>
  </si>
  <si>
    <t>6*  PRJ NT-O-NTP-001               NTPL MOH Unit-I FY20</t>
  </si>
  <si>
    <t>6*  PRJ NT-S-NTP-001               NTPL CSR Projects</t>
  </si>
  <si>
    <t>6*  PRJ NU-C-GTP-001               NUPPL Thermal Projec</t>
  </si>
  <si>
    <t>6*  PRJ NU-C-GTP-003               NUPPL Thermal Projec</t>
  </si>
  <si>
    <t>6*  PRJ NU-C-MPS-001               PSCB Mines</t>
  </si>
  <si>
    <t>6*  PRJ NU-F-MPS-001               PSCB Feasibility Pro</t>
  </si>
  <si>
    <t>Unnamed: 0_level_0_Budget</t>
  </si>
  <si>
    <t>Total of years_Budget</t>
  </si>
  <si>
    <t>Previous years_Budget</t>
  </si>
  <si>
    <t>2024_Budget</t>
  </si>
  <si>
    <t>2025_Budget</t>
  </si>
  <si>
    <t>2026_Budget</t>
  </si>
  <si>
    <t>2027 and Following_Budget</t>
  </si>
  <si>
    <t>Overall values_Budget</t>
  </si>
  <si>
    <t>ProjectName_Budget</t>
  </si>
  <si>
    <t>Unnamed: 0_level_0_Actual</t>
  </si>
  <si>
    <t>Total of years_Actual</t>
  </si>
  <si>
    <t>Previous years_Actual</t>
  </si>
  <si>
    <t>2024_Actual</t>
  </si>
  <si>
    <t>2025_Actual</t>
  </si>
  <si>
    <t>2026_Actual</t>
  </si>
  <si>
    <t>2027 and Following_Actual</t>
  </si>
  <si>
    <t>Overall values_Actual</t>
  </si>
  <si>
    <t>ProjectName_Actual</t>
  </si>
  <si>
    <t>Project ID</t>
  </si>
  <si>
    <t xml:space="preserve">Years </t>
  </si>
  <si>
    <t>Plan Values across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</si>
</sst>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0" fontId="0" fillId="0" borderId="3" xfId="0" applyBorder="1"/>
    <xf numFmtId="164" fontId="0" fillId="0" borderId="3" xfId="0" applyNumberFormat="1" applyBorder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164" fontId="0" fillId="4" borderId="1" xfId="0" applyNumberFormat="1" applyFill="1" applyBorder="1"/>
    <xf numFmtId="0" fontId="4" fillId="2" borderId="1" xfId="0" applyFont="1" applyFill="1" applyBorder="1" applyAlignment="1">
      <alignment horizontal="right"/>
    </xf>
    <xf numFmtId="0" fontId="5" fillId="0" borderId="9" xfId="0" applyFont="1" applyBorder="1" applyAlignment="1"/>
    <xf numFmtId="0" fontId="5" fillId="0" borderId="0" xfId="0" applyFont="1" applyAlignment="1"/>
  </cellXfs>
  <cellStyles count="1">
    <cellStyle name="Normal" xfId="0" builtinId="0"/>
  </cellStyles>
  <dxfs count="5">
    <dxf>
      <fill>
        <patternFill>
          <bgColor theme="8" tint="0.79998168889431442"/>
        </patternFill>
      </fill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Plan Vs Budget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740537037037036"/>
          <c:y val="3.2925925925925928E-2"/>
          <c:w val="0.77496500000000001"/>
          <c:h val="0.7315437037037037"/>
        </c:manualLayout>
      </c:layout>
      <c:bar3DChart>
        <c:barDir val="col"/>
        <c:grouping val="clustered"/>
        <c:varyColors val="1"/>
        <c:ser>
          <c:idx val="0"/>
          <c:order val="0"/>
          <c:tx>
            <c:strRef>
              <c:f>Analysis!$C$3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4F81BD">
                <a:alpha val="84706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1"/>
          <c:val>
            <c:numRef>
              <c:f>Analysis!$C$4</c:f>
              <c:numCache>
                <c:formatCode>_ [$₹-4009]\ * #,##0.00_ ;_ [$₹-4009]\ * \-#,##0.00_ ;_ [$₹-4009]\ * "-"??_ ;_ @_ </c:formatCode>
                <c:ptCount val="1"/>
                <c:pt idx="0">
                  <c:v>94100006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lumMod val="75000"/>
                      </a:schemeClr>
                    </a:contourClr>
                  </a:sp3d>
                </c14:spPr>
              </c14:invertSolidFillFmt>
            </c:ext>
            <c:ext xmlns:c16="http://schemas.microsoft.com/office/drawing/2014/chart" uri="{C3380CC4-5D6E-409C-BE32-E72D297353CC}">
              <c16:uniqueId val="{00000000-4D5B-49D1-8F78-D7171118599A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Analysis!$D$4</c:f>
              <c:numCache>
                <c:formatCode>_ [$₹-4009]\ * #,##0.00_ ;_ [$₹-4009]\ * \-#,##0.00_ ;_ [$₹-4009]\ * "-"??_ ;_ @_ </c:formatCode>
                <c:ptCount val="1"/>
                <c:pt idx="0">
                  <c:v>25642573.379999999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B-49D1-8F78-D71711185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erAx>
        <c:axId val="1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Actual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268314814814816"/>
          <c:y val="2.5835185185185187E-2"/>
          <c:w val="0.77496500000000001"/>
          <c:h val="0.78321407407407406"/>
        </c:manualLayout>
      </c:layout>
      <c:bar3DChart>
        <c:barDir val="col"/>
        <c:grouping val="clustered"/>
        <c:varyColors val="1"/>
        <c:ser>
          <c:idx val="0"/>
          <c:order val="0"/>
          <c:tx>
            <c:strRef>
              <c:f>Analysis!$D$3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>
                <a:alpha val="84706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1"/>
          <c:cat>
            <c:numRef>
              <c:f>Analysis!$B$4:$B$5</c:f>
              <c:numCache>
                <c:formatCode>General</c:formatCode>
                <c:ptCount val="2"/>
              </c:numCache>
            </c:numRef>
          </c:cat>
          <c:val>
            <c:numRef>
              <c:f>Analysis!$D$4</c:f>
              <c:numCache>
                <c:formatCode>_ [$₹-4009]\ * #,##0.00_ ;_ [$₹-4009]\ * \-#,##0.00_ ;_ [$₹-4009]\ * "-"??_ ;_ @_ </c:formatCode>
                <c:ptCount val="1"/>
                <c:pt idx="0">
                  <c:v>25642573.379999999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lumMod val="75000"/>
                      </a:schemeClr>
                    </a:contourClr>
                  </a:sp3d>
                </c14:spPr>
              </c14:invertSolidFillFmt>
            </c:ext>
            <c:ext xmlns:c16="http://schemas.microsoft.com/office/drawing/2014/chart" uri="{C3380CC4-5D6E-409C-BE32-E72D297353CC}">
              <c16:uniqueId val="{00000000-0869-46B8-9A27-AAEC4C0144B4}"/>
            </c:ext>
          </c:extLst>
        </c:ser>
        <c:ser>
          <c:idx val="1"/>
          <c:order val="1"/>
          <c:tx>
            <c:strRef>
              <c:f>Analysis!$E$3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Analysis!$E$4</c:f>
              <c:numCache>
                <c:formatCode>_ [$₹-4009]\ * #,##0.00_ ;_ [$₹-4009]\ * \-#,##0.00_ ;_ [$₹-4009]\ * "-"??_ ;_ @_ </c:formatCode>
                <c:ptCount val="1"/>
                <c:pt idx="0">
                  <c:v>14376988.279999999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9-46B8-9A27-AAEC4C014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erAx>
        <c:axId val="10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Commitment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916462962962958"/>
          <c:y val="4.7037037037037037E-2"/>
          <c:w val="0.77496500000000001"/>
          <c:h val="0.7315437037037037"/>
        </c:manualLayout>
      </c:layout>
      <c:bar3DChart>
        <c:barDir val="col"/>
        <c:grouping val="clustered"/>
        <c:varyColors val="1"/>
        <c:ser>
          <c:idx val="0"/>
          <c:order val="0"/>
          <c:tx>
            <c:strRef>
              <c:f>Analysis!$D$3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Analysis!$D$4</c:f>
              <c:numCache>
                <c:formatCode>_ [$₹-4009]\ * #,##0.00_ ;_ [$₹-4009]\ * \-#,##0.00_ ;_ [$₹-4009]\ * "-"??_ ;_ @_ </c:formatCode>
                <c:ptCount val="1"/>
                <c:pt idx="0">
                  <c:v>25642573.379999999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7-4363-816C-548C57E5019B}"/>
            </c:ext>
          </c:extLst>
        </c:ser>
        <c:ser>
          <c:idx val="1"/>
          <c:order val="1"/>
          <c:tx>
            <c:strRef>
              <c:f>Analysis!$F$3</c:f>
              <c:strCache>
                <c:ptCount val="1"/>
                <c:pt idx="0">
                  <c:v>Commitment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Analysis!$F$4</c:f>
              <c:numCache>
                <c:formatCode>_ [$₹-4009]\ * #,##0.00_ ;_ [$₹-4009]\ * \-#,##0.00_ ;_ [$₹-4009]\ * "-"??_ ;_ @_ </c:formatCode>
                <c:ptCount val="1"/>
                <c:pt idx="0">
                  <c:v>5575827.29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7-4363-816C-548C57E50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erAx>
        <c:axId val="1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Budget</a:t>
            </a:r>
            <a:r>
              <a:rPr lang="en-IN" baseline="0"/>
              <a:t> Vs Available</a:t>
            </a:r>
            <a:endParaRPr lang="en-IN"/>
          </a:p>
        </c:rich>
      </c:tx>
      <c:overlay val="0"/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Analysis!$D$3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>
                <a:alpha val="84706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1"/>
          <c:cat>
            <c:numRef>
              <c:f>Analysis!$B$4:$B$5</c:f>
              <c:numCache>
                <c:formatCode>General</c:formatCode>
                <c:ptCount val="2"/>
              </c:numCache>
            </c:numRef>
          </c:cat>
          <c:val>
            <c:numRef>
              <c:f>Analysis!$D$4</c:f>
              <c:numCache>
                <c:formatCode>_ [$₹-4009]\ * #,##0.00_ ;_ [$₹-4009]\ * \-#,##0.00_ ;_ [$₹-4009]\ * "-"??_ ;_ @_ </c:formatCode>
                <c:ptCount val="1"/>
                <c:pt idx="0">
                  <c:v>25642573.379999999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lumMod val="75000"/>
                      </a:schemeClr>
                    </a:contourClr>
                  </a:sp3d>
                </c14:spPr>
              </c14:invertSolidFillFmt>
            </c:ext>
            <c:ext xmlns:c16="http://schemas.microsoft.com/office/drawing/2014/chart" uri="{C3380CC4-5D6E-409C-BE32-E72D297353CC}">
              <c16:uniqueId val="{00000000-37BE-4BB7-877E-FEB402D1044D}"/>
            </c:ext>
          </c:extLst>
        </c:ser>
        <c:ser>
          <c:idx val="1"/>
          <c:order val="1"/>
          <c:tx>
            <c:strRef>
              <c:f>Analysis!$H$3</c:f>
              <c:strCache>
                <c:ptCount val="1"/>
                <c:pt idx="0">
                  <c:v>Available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Analysis!$H$4</c:f>
              <c:numCache>
                <c:formatCode>_ [$₹-4009]\ * #,##0.00_ ;_ [$₹-4009]\ * \-#,##0.00_ ;_ [$₹-4009]\ * "-"??_ ;_ @_ </c:formatCode>
                <c:ptCount val="1"/>
                <c:pt idx="0">
                  <c:v>5689757.8099999996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E-4BB7-877E-FEB402D1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erAx>
        <c:axId val="10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88900</xdr:colOff>
      <xdr:row>5</xdr:row>
      <xdr:rowOff>31750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50800</xdr:colOff>
      <xdr:row>21</xdr:row>
      <xdr:rowOff>12700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685800</xdr:colOff>
      <xdr:row>5</xdr:row>
      <xdr:rowOff>57150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698500</xdr:colOff>
      <xdr:row>21</xdr:row>
      <xdr:rowOff>31750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00C41-30E0-4C22-845C-45272CE8027F}" name="Table1" displayName="Table1" ref="A1:H290" totalsRowShown="0">
  <autoFilter ref="A1:H290" xr:uid="{A4400C41-30E0-4C22-845C-45272CE8027F}"/>
  <sortState xmlns:xlrd2="http://schemas.microsoft.com/office/spreadsheetml/2017/richdata2" ref="A2:H290">
    <sortCondition ref="A1:A290"/>
  </sortState>
  <tableColumns count="8">
    <tableColumn id="1" xr3:uid="{E3C0D83F-0CD5-4336-BD00-3E5C667887AB}" name="ProjectID"/>
    <tableColumn id="2" xr3:uid="{F46C5F9C-329D-407F-BA3D-367A5C403D1E}" name="Total of years" dataDxfId="4"/>
    <tableColumn id="3" xr3:uid="{9276F62C-00EC-4BEA-B0DB-CC5CE85559A0}" name="Previous years" dataDxfId="3"/>
    <tableColumn id="4" xr3:uid="{06C97544-755F-41C4-98A1-DE4327834748}" name="2024" dataDxfId="2"/>
    <tableColumn id="5" xr3:uid="{D89A5387-6F01-4A2D-8DD0-29A84CEFD20A}" name="2025"/>
    <tableColumn id="6" xr3:uid="{FDAD0645-F87A-4535-A529-60758D1C9F8A}" name="2026"/>
    <tableColumn id="7" xr3:uid="{E8474D68-3841-4643-9112-E74583A93D34}" name="2027 and Following"/>
    <tableColumn id="8" xr3:uid="{92A6F94C-90DB-40B9-9C22-CA1C6F6CA9CC}" name="Overall valu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6"/>
  <sheetViews>
    <sheetView workbookViewId="0">
      <pane xSplit="1" ySplit="2" topLeftCell="AM3" activePane="bottomRight" state="frozen"/>
      <selection pane="topRight" activeCell="B1" sqref="B1"/>
      <selection pane="bottomLeft" activeCell="A3" sqref="A3"/>
      <selection pane="bottomRight" activeCell="AG3" sqref="AG3"/>
    </sheetView>
  </sheetViews>
  <sheetFormatPr defaultRowHeight="14.5" x14ac:dyDescent="0.35"/>
  <cols>
    <col min="1" max="1" width="40.6328125" bestFit="1" customWidth="1"/>
    <col min="2" max="10" width="18.7265625" bestFit="1" customWidth="1"/>
    <col min="11" max="11" width="18.36328125" bestFit="1" customWidth="1"/>
    <col min="12" max="16" width="18.7265625" bestFit="1" customWidth="1"/>
    <col min="17" max="17" width="6.7265625" bestFit="1" customWidth="1"/>
    <col min="18" max="18" width="6.08984375" bestFit="1" customWidth="1"/>
    <col min="19" max="20" width="17.7265625" bestFit="1" customWidth="1"/>
    <col min="21" max="21" width="18.36328125" bestFit="1" customWidth="1"/>
    <col min="22" max="22" width="6.7265625" bestFit="1" customWidth="1"/>
    <col min="23" max="23" width="6.08984375" bestFit="1" customWidth="1"/>
    <col min="24" max="25" width="15.1796875" bestFit="1" customWidth="1"/>
    <col min="26" max="26" width="15.81640625" bestFit="1" customWidth="1"/>
    <col min="27" max="27" width="17.08984375" bestFit="1" customWidth="1"/>
    <col min="28" max="28" width="6.08984375" bestFit="1" customWidth="1"/>
    <col min="29" max="29" width="11.81640625" bestFit="1" customWidth="1"/>
    <col min="30" max="30" width="8.26953125" bestFit="1" customWidth="1"/>
    <col min="31" max="31" width="8.453125" bestFit="1" customWidth="1"/>
    <col min="32" max="36" width="18.7265625" bestFit="1" customWidth="1"/>
    <col min="37" max="37" width="21.81640625" bestFit="1" customWidth="1"/>
    <col min="38" max="38" width="14.81640625" bestFit="1" customWidth="1"/>
    <col min="39" max="45" width="19.6328125" style="1" customWidth="1"/>
  </cols>
  <sheetData>
    <row r="1" spans="1:45" ht="15.5" x14ac:dyDescent="0.35">
      <c r="A1" s="8" t="s">
        <v>9</v>
      </c>
      <c r="B1" s="14" t="s">
        <v>0</v>
      </c>
      <c r="C1" s="15"/>
      <c r="D1" s="15"/>
      <c r="E1" s="15"/>
      <c r="F1" s="16"/>
      <c r="G1" s="13" t="s">
        <v>1</v>
      </c>
      <c r="H1" s="13"/>
      <c r="I1" s="13"/>
      <c r="J1" s="13"/>
      <c r="K1" s="13"/>
      <c r="L1" s="13" t="s">
        <v>2</v>
      </c>
      <c r="M1" s="13"/>
      <c r="N1" s="13"/>
      <c r="O1" s="13"/>
      <c r="P1" s="13"/>
      <c r="Q1" s="13" t="s">
        <v>3</v>
      </c>
      <c r="R1" s="13"/>
      <c r="S1" s="13"/>
      <c r="T1" s="13"/>
      <c r="U1" s="13"/>
      <c r="V1" s="13" t="s">
        <v>4</v>
      </c>
      <c r="W1" s="13"/>
      <c r="X1" s="13"/>
      <c r="Y1" s="13"/>
      <c r="Z1" s="13"/>
      <c r="AA1" s="13" t="s">
        <v>5</v>
      </c>
      <c r="AB1" s="13"/>
      <c r="AC1" s="13"/>
      <c r="AD1" s="13"/>
      <c r="AE1" s="13"/>
      <c r="AF1" s="13" t="s">
        <v>6</v>
      </c>
      <c r="AG1" s="13"/>
      <c r="AH1" s="13"/>
      <c r="AI1" s="13"/>
      <c r="AJ1" s="13"/>
      <c r="AK1" s="4" t="s">
        <v>7</v>
      </c>
      <c r="AL1" s="4" t="s">
        <v>8</v>
      </c>
      <c r="AM1" s="5" t="str">
        <f>B1</f>
        <v>Total of years</v>
      </c>
      <c r="AN1" s="10" t="s">
        <v>1543</v>
      </c>
      <c r="AO1" s="11"/>
      <c r="AP1" s="11"/>
      <c r="AQ1" s="11"/>
      <c r="AR1" s="11"/>
      <c r="AS1" s="12"/>
    </row>
    <row r="2" spans="1:45" ht="15.5" x14ac:dyDescent="0.35">
      <c r="A2" s="9"/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10</v>
      </c>
      <c r="R2" s="4" t="s">
        <v>11</v>
      </c>
      <c r="S2" s="4" t="s">
        <v>12</v>
      </c>
      <c r="T2" s="4" t="s">
        <v>13</v>
      </c>
      <c r="U2" s="4" t="s">
        <v>14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10</v>
      </c>
      <c r="AB2" s="4" t="s">
        <v>11</v>
      </c>
      <c r="AC2" s="4" t="s">
        <v>12</v>
      </c>
      <c r="AD2" s="4" t="s">
        <v>13</v>
      </c>
      <c r="AE2" s="4" t="s">
        <v>14</v>
      </c>
      <c r="AF2" s="4" t="s">
        <v>10</v>
      </c>
      <c r="AG2" s="4" t="s">
        <v>11</v>
      </c>
      <c r="AH2" s="4" t="s">
        <v>12</v>
      </c>
      <c r="AI2" s="4" t="s">
        <v>13</v>
      </c>
      <c r="AJ2" s="4" t="s">
        <v>14</v>
      </c>
      <c r="AK2" s="4"/>
      <c r="AL2" s="4"/>
      <c r="AM2" s="5"/>
      <c r="AN2" s="5" t="str">
        <f>G1</f>
        <v>Previous years</v>
      </c>
      <c r="AO2" s="5" t="str">
        <f>L1</f>
        <v>2024</v>
      </c>
      <c r="AP2" s="5" t="str">
        <f>Q1</f>
        <v>2025</v>
      </c>
      <c r="AQ2" s="5" t="str">
        <f>V1</f>
        <v>2026</v>
      </c>
      <c r="AR2" s="5" t="str">
        <f>AA1</f>
        <v>2027 and Following</v>
      </c>
      <c r="AS2" s="5" t="str">
        <f>AF1</f>
        <v>Overall values</v>
      </c>
    </row>
    <row r="3" spans="1:45" x14ac:dyDescent="0.35">
      <c r="A3" s="6" t="s">
        <v>15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6" t="s">
        <v>16</v>
      </c>
      <c r="AL3" s="6" t="s">
        <v>17</v>
      </c>
      <c r="AM3" s="7" t="e">
        <f>VLOOKUP(AL3,Table1[],2,FALSE)</f>
        <v>#N/A</v>
      </c>
      <c r="AN3" s="7" t="e">
        <f>VLOOKUP($AL3,Table1[],3,FALSE)</f>
        <v>#N/A</v>
      </c>
      <c r="AO3" s="7" t="e">
        <f>VLOOKUP($AL3,Table1[],4,FALSE)</f>
        <v>#N/A</v>
      </c>
      <c r="AP3" s="7" t="e">
        <f>VLOOKUP($AL3,Table1[],5,FALSE)</f>
        <v>#N/A</v>
      </c>
      <c r="AQ3" s="7" t="e">
        <f>VLOOKUP($AL3,Table1[],6,FALSE)</f>
        <v>#N/A</v>
      </c>
      <c r="AR3" s="7" t="e">
        <f>VLOOKUP($AL3,Table1[],7,FALSE)</f>
        <v>#N/A</v>
      </c>
      <c r="AS3" s="7" t="e">
        <f>VLOOKUP($AL3,Table1[],8,FALSE)</f>
        <v>#N/A</v>
      </c>
    </row>
    <row r="4" spans="1:45" x14ac:dyDescent="0.35">
      <c r="A4" s="2" t="s">
        <v>18</v>
      </c>
      <c r="B4" s="3">
        <v>19137257519.84</v>
      </c>
      <c r="C4" s="3">
        <v>4662264094.8000002</v>
      </c>
      <c r="D4" s="3">
        <v>1275641544.3699999</v>
      </c>
      <c r="E4" s="3">
        <v>5937905639.1700001</v>
      </c>
      <c r="F4" s="3">
        <v>13199351880.67</v>
      </c>
      <c r="G4" s="3">
        <v>1952754815.4000001</v>
      </c>
      <c r="H4" s="3">
        <v>1952754815.4000001</v>
      </c>
      <c r="I4" s="3">
        <v>0</v>
      </c>
      <c r="J4" s="3">
        <v>1952754815.4000001</v>
      </c>
      <c r="K4" s="3">
        <v>0</v>
      </c>
      <c r="L4" s="3">
        <v>17184502704.439999</v>
      </c>
      <c r="M4" s="3">
        <v>2709509279.4000001</v>
      </c>
      <c r="N4" s="3">
        <v>1275641544.3699999</v>
      </c>
      <c r="O4" s="3">
        <v>3985150823.77</v>
      </c>
      <c r="P4" s="3">
        <v>13199351880.67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19137257519.84</v>
      </c>
      <c r="AG4" s="3">
        <v>4662264094.8000002</v>
      </c>
      <c r="AH4" s="3">
        <v>1275641544.3699999</v>
      </c>
      <c r="AI4" s="3">
        <v>5937905639.1700001</v>
      </c>
      <c r="AJ4" s="3">
        <v>13199351880.67</v>
      </c>
      <c r="AK4" s="2" t="s">
        <v>19</v>
      </c>
      <c r="AL4" s="2" t="s">
        <v>20</v>
      </c>
      <c r="AM4" s="3">
        <f>VLOOKUP(AL4,Table1[],2,FALSE)</f>
        <v>17555000001</v>
      </c>
      <c r="AN4" s="3">
        <f>VLOOKUP(AL4,Table1[],3,FALSE)</f>
        <v>17555000001</v>
      </c>
      <c r="AO4" s="3">
        <f>VLOOKUP($AL4,Table1[],4,FALSE)</f>
        <v>0</v>
      </c>
      <c r="AP4" s="3">
        <f>VLOOKUP($AL4,Table1[],5,FALSE)</f>
        <v>0</v>
      </c>
      <c r="AQ4" s="3">
        <f>VLOOKUP($AL4,Table1[],6,FALSE)</f>
        <v>0</v>
      </c>
      <c r="AR4" s="3">
        <f>VLOOKUP($AL4,Table1[],7,FALSE)</f>
        <v>0</v>
      </c>
      <c r="AS4" s="3">
        <f>VLOOKUP($AL4,Table1[],8,FALSE)</f>
        <v>17575000001</v>
      </c>
    </row>
    <row r="5" spans="1:45" x14ac:dyDescent="0.35">
      <c r="A5" s="2" t="s">
        <v>21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2" t="s">
        <v>22</v>
      </c>
      <c r="AL5" s="2" t="s">
        <v>23</v>
      </c>
      <c r="AM5" s="3" t="e">
        <f>VLOOKUP(AL5,Table1[],2,FALSE)</f>
        <v>#N/A</v>
      </c>
      <c r="AN5" s="3" t="e">
        <f>VLOOKUP(AL5,Table1[],3,FALSE)</f>
        <v>#N/A</v>
      </c>
      <c r="AO5" s="3" t="e">
        <f>VLOOKUP($AL5,Table1[],4,FALSE)</f>
        <v>#N/A</v>
      </c>
      <c r="AP5" s="3" t="e">
        <f>VLOOKUP($AL5,Table1[],5,FALSE)</f>
        <v>#N/A</v>
      </c>
      <c r="AQ5" s="3" t="e">
        <f>VLOOKUP($AL5,Table1[],6,FALSE)</f>
        <v>#N/A</v>
      </c>
      <c r="AR5" s="3" t="e">
        <f>VLOOKUP($AL5,Table1[],7,FALSE)</f>
        <v>#N/A</v>
      </c>
      <c r="AS5" s="3" t="e">
        <f>VLOOKUP($AL5,Table1[],8,FALSE)</f>
        <v>#N/A</v>
      </c>
    </row>
    <row r="6" spans="1:45" x14ac:dyDescent="0.35">
      <c r="A6" s="2" t="s">
        <v>24</v>
      </c>
      <c r="B6" s="3">
        <v>3987309</v>
      </c>
      <c r="C6" s="3">
        <v>3987309</v>
      </c>
      <c r="D6" s="3">
        <v>0</v>
      </c>
      <c r="E6" s="3">
        <v>3987309</v>
      </c>
      <c r="F6" s="3">
        <v>0</v>
      </c>
      <c r="G6" s="3">
        <v>3987309</v>
      </c>
      <c r="H6" s="3">
        <v>3987309</v>
      </c>
      <c r="I6" s="3">
        <v>0</v>
      </c>
      <c r="J6" s="3">
        <v>3987309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3987309</v>
      </c>
      <c r="AG6" s="3">
        <v>3987309</v>
      </c>
      <c r="AH6" s="3">
        <v>0</v>
      </c>
      <c r="AI6" s="3">
        <v>3987309</v>
      </c>
      <c r="AJ6" s="3">
        <v>0</v>
      </c>
      <c r="AK6" s="2" t="s">
        <v>25</v>
      </c>
      <c r="AL6" s="2" t="s">
        <v>26</v>
      </c>
      <c r="AM6" s="3">
        <f>VLOOKUP(AL6,Table1[],2,FALSE)</f>
        <v>5945634</v>
      </c>
      <c r="AN6" s="3">
        <f>VLOOKUP(AL6,Table1[],3,FALSE)</f>
        <v>5945634</v>
      </c>
      <c r="AO6" s="3">
        <f>VLOOKUP($AL6,Table1[],4,FALSE)</f>
        <v>0</v>
      </c>
      <c r="AP6" s="3">
        <f>VLOOKUP($AL6,Table1[],5,FALSE)</f>
        <v>0</v>
      </c>
      <c r="AQ6" s="3">
        <f>VLOOKUP($AL6,Table1[],6,FALSE)</f>
        <v>0</v>
      </c>
      <c r="AR6" s="3">
        <f>VLOOKUP($AL6,Table1[],7,FALSE)</f>
        <v>0</v>
      </c>
      <c r="AS6" s="3">
        <f>VLOOKUP($AL6,Table1[],8,FALSE)</f>
        <v>5945634</v>
      </c>
    </row>
    <row r="7" spans="1:45" x14ac:dyDescent="0.35">
      <c r="A7" s="2" t="s">
        <v>27</v>
      </c>
      <c r="B7" s="3">
        <v>13294998.85</v>
      </c>
      <c r="C7" s="3">
        <v>3679142.06</v>
      </c>
      <c r="D7" s="3">
        <v>9615856.7899999991</v>
      </c>
      <c r="E7" s="3">
        <v>13294998.85</v>
      </c>
      <c r="F7" s="3">
        <v>0</v>
      </c>
      <c r="G7" s="3">
        <v>13294998.85</v>
      </c>
      <c r="H7" s="3">
        <v>3679142.06</v>
      </c>
      <c r="I7" s="3">
        <v>9615856.7899999991</v>
      </c>
      <c r="J7" s="3">
        <v>13294998.85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13294998.85</v>
      </c>
      <c r="AG7" s="3">
        <v>3679142.06</v>
      </c>
      <c r="AH7" s="3">
        <v>9615856.7899999991</v>
      </c>
      <c r="AI7" s="3">
        <v>13294998.85</v>
      </c>
      <c r="AJ7" s="3">
        <v>0</v>
      </c>
      <c r="AK7" s="2" t="s">
        <v>28</v>
      </c>
      <c r="AL7" s="2" t="s">
        <v>29</v>
      </c>
      <c r="AM7" s="3">
        <f>VLOOKUP(AL7,Table1[],2,FALSE)</f>
        <v>18295400</v>
      </c>
      <c r="AN7" s="3">
        <f>VLOOKUP(AL7,Table1[],3,FALSE)</f>
        <v>18295400</v>
      </c>
      <c r="AO7" s="3">
        <f>VLOOKUP($AL7,Table1[],4,FALSE)</f>
        <v>0</v>
      </c>
      <c r="AP7" s="3">
        <f>VLOOKUP($AL7,Table1[],5,FALSE)</f>
        <v>0</v>
      </c>
      <c r="AQ7" s="3">
        <f>VLOOKUP($AL7,Table1[],6,FALSE)</f>
        <v>0</v>
      </c>
      <c r="AR7" s="3">
        <f>VLOOKUP($AL7,Table1[],7,FALSE)</f>
        <v>0</v>
      </c>
      <c r="AS7" s="3">
        <f>VLOOKUP($AL7,Table1[],8,FALSE)</f>
        <v>18295400</v>
      </c>
    </row>
    <row r="8" spans="1:45" x14ac:dyDescent="0.35">
      <c r="A8" s="2" t="s">
        <v>30</v>
      </c>
      <c r="B8" s="3">
        <v>806814438.90999997</v>
      </c>
      <c r="C8" s="3">
        <v>362190462.81999999</v>
      </c>
      <c r="D8" s="3">
        <v>246640613.21000001</v>
      </c>
      <c r="E8" s="3">
        <v>608831076.02999997</v>
      </c>
      <c r="F8" s="3">
        <v>197983362.88</v>
      </c>
      <c r="G8" s="3">
        <v>241804043.15000001</v>
      </c>
      <c r="H8" s="3">
        <v>241804043.15000001</v>
      </c>
      <c r="I8" s="3">
        <v>8813116.0399999991</v>
      </c>
      <c r="J8" s="3">
        <v>250617159.19</v>
      </c>
      <c r="K8" s="3">
        <v>-8813116.0399999991</v>
      </c>
      <c r="L8" s="3">
        <v>565010395.75999999</v>
      </c>
      <c r="M8" s="3">
        <v>120386419.67</v>
      </c>
      <c r="N8" s="3">
        <v>231246751.31999999</v>
      </c>
      <c r="O8" s="3">
        <v>351633170.99000001</v>
      </c>
      <c r="P8" s="3">
        <v>213377224.77000001</v>
      </c>
      <c r="Q8" s="3">
        <v>0</v>
      </c>
      <c r="R8" s="3">
        <v>0</v>
      </c>
      <c r="S8" s="3">
        <v>6580745.8499999996</v>
      </c>
      <c r="T8" s="3">
        <v>6580745.8499999996</v>
      </c>
      <c r="U8" s="3">
        <v>-6580745.8499999996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806814439.52999997</v>
      </c>
      <c r="AG8" s="3">
        <v>362190462.81999999</v>
      </c>
      <c r="AH8" s="3">
        <v>246640613.21000001</v>
      </c>
      <c r="AI8" s="3">
        <v>608831076.02999997</v>
      </c>
      <c r="AJ8" s="3">
        <v>197983363.5</v>
      </c>
      <c r="AK8" s="2" t="s">
        <v>31</v>
      </c>
      <c r="AL8" s="2" t="s">
        <v>32</v>
      </c>
      <c r="AM8" s="3">
        <f>VLOOKUP(AL8,Table1[],2,FALSE)</f>
        <v>718500000</v>
      </c>
      <c r="AN8" s="3">
        <f>VLOOKUP(AL8,Table1[],3,FALSE)</f>
        <v>718500000</v>
      </c>
      <c r="AO8" s="3">
        <f>VLOOKUP($AL8,Table1[],4,FALSE)</f>
        <v>0</v>
      </c>
      <c r="AP8" s="3">
        <f>VLOOKUP($AL8,Table1[],5,FALSE)</f>
        <v>0</v>
      </c>
      <c r="AQ8" s="3">
        <f>VLOOKUP($AL8,Table1[],6,FALSE)</f>
        <v>0</v>
      </c>
      <c r="AR8" s="3">
        <f>VLOOKUP($AL8,Table1[],7,FALSE)</f>
        <v>0</v>
      </c>
      <c r="AS8" s="3">
        <f>VLOOKUP($AL8,Table1[],8,FALSE)</f>
        <v>718500000</v>
      </c>
    </row>
    <row r="9" spans="1:45" x14ac:dyDescent="0.35">
      <c r="A9" s="2" t="s">
        <v>33</v>
      </c>
      <c r="B9" s="3">
        <v>398300.04</v>
      </c>
      <c r="C9" s="3">
        <v>375240</v>
      </c>
      <c r="D9" s="3">
        <v>23060.04</v>
      </c>
      <c r="E9" s="3">
        <v>398300.04</v>
      </c>
      <c r="F9" s="3">
        <v>0</v>
      </c>
      <c r="G9" s="3">
        <v>375240</v>
      </c>
      <c r="H9" s="3">
        <v>375240</v>
      </c>
      <c r="I9" s="3">
        <v>0</v>
      </c>
      <c r="J9" s="3">
        <v>375240</v>
      </c>
      <c r="K9" s="3">
        <v>0</v>
      </c>
      <c r="L9" s="3">
        <v>23060.04</v>
      </c>
      <c r="M9" s="3">
        <v>0</v>
      </c>
      <c r="N9" s="3">
        <v>23060.04</v>
      </c>
      <c r="O9" s="3">
        <v>23060.04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398300.04</v>
      </c>
      <c r="AG9" s="3">
        <v>375240</v>
      </c>
      <c r="AH9" s="3">
        <v>23060.04</v>
      </c>
      <c r="AI9" s="3">
        <v>398300.04</v>
      </c>
      <c r="AJ9" s="3">
        <v>0</v>
      </c>
      <c r="AK9" s="2" t="s">
        <v>34</v>
      </c>
      <c r="AL9" s="2" t="s">
        <v>35</v>
      </c>
      <c r="AM9" s="3">
        <f>VLOOKUP(AL9,Table1[],2,FALSE)</f>
        <v>33358500000</v>
      </c>
      <c r="AN9" s="3">
        <f>VLOOKUP(AL9,Table1[],3,FALSE)</f>
        <v>33358500000</v>
      </c>
      <c r="AO9" s="3">
        <f>VLOOKUP($AL9,Table1[],4,FALSE)</f>
        <v>0</v>
      </c>
      <c r="AP9" s="3">
        <f>VLOOKUP($AL9,Table1[],5,FALSE)</f>
        <v>0</v>
      </c>
      <c r="AQ9" s="3">
        <f>VLOOKUP($AL9,Table1[],6,FALSE)</f>
        <v>0</v>
      </c>
      <c r="AR9" s="3">
        <f>VLOOKUP($AL9,Table1[],7,FALSE)</f>
        <v>0</v>
      </c>
      <c r="AS9" s="3">
        <f>VLOOKUP($AL9,Table1[],8,FALSE)</f>
        <v>33358500000</v>
      </c>
    </row>
    <row r="10" spans="1:45" x14ac:dyDescent="0.35">
      <c r="A10" s="2" t="s">
        <v>36</v>
      </c>
      <c r="B10" s="3">
        <v>5416022239.75</v>
      </c>
      <c r="C10" s="3">
        <v>3704872940.0599999</v>
      </c>
      <c r="D10" s="3">
        <v>68131780.769999996</v>
      </c>
      <c r="E10" s="3">
        <v>3773004720.8299999</v>
      </c>
      <c r="F10" s="3">
        <v>1643017518.9200001</v>
      </c>
      <c r="G10" s="3">
        <v>2374299156</v>
      </c>
      <c r="H10" s="3">
        <v>2374299156</v>
      </c>
      <c r="I10" s="3">
        <v>0</v>
      </c>
      <c r="J10" s="3">
        <v>2374299156</v>
      </c>
      <c r="K10" s="3">
        <v>0</v>
      </c>
      <c r="L10" s="3">
        <v>3041723083.75</v>
      </c>
      <c r="M10" s="3">
        <v>1330573784.0599999</v>
      </c>
      <c r="N10" s="3">
        <v>68131780.769999996</v>
      </c>
      <c r="O10" s="3">
        <v>1398705564.8299999</v>
      </c>
      <c r="P10" s="3">
        <v>1643017518.9200001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5416022239.75</v>
      </c>
      <c r="AG10" s="3">
        <v>3704872940.0599999</v>
      </c>
      <c r="AH10" s="3">
        <v>68131780.769999996</v>
      </c>
      <c r="AI10" s="3">
        <v>3773004720.8299999</v>
      </c>
      <c r="AJ10" s="3">
        <v>1643017518.9200001</v>
      </c>
      <c r="AK10" s="2" t="s">
        <v>37</v>
      </c>
      <c r="AL10" s="2" t="s">
        <v>38</v>
      </c>
      <c r="AM10" s="3">
        <f>VLOOKUP(AL10,Table1[],2,FALSE)</f>
        <v>1400000000</v>
      </c>
      <c r="AN10" s="3">
        <f>VLOOKUP(AL10,Table1[],3,FALSE)</f>
        <v>0</v>
      </c>
      <c r="AO10" s="3">
        <f>VLOOKUP($AL10,Table1[],4,FALSE)</f>
        <v>1400000000</v>
      </c>
      <c r="AP10" s="3">
        <f>VLOOKUP($AL10,Table1[],5,FALSE)</f>
        <v>0</v>
      </c>
      <c r="AQ10" s="3">
        <f>VLOOKUP($AL10,Table1[],6,FALSE)</f>
        <v>0</v>
      </c>
      <c r="AR10" s="3">
        <f>VLOOKUP($AL10,Table1[],7,FALSE)</f>
        <v>0</v>
      </c>
      <c r="AS10" s="3">
        <f>VLOOKUP($AL10,Table1[],8,FALSE)</f>
        <v>1400000000</v>
      </c>
    </row>
    <row r="11" spans="1:45" x14ac:dyDescent="0.35">
      <c r="A11" s="2" t="s">
        <v>39</v>
      </c>
      <c r="B11" s="3">
        <v>889522026.40999997</v>
      </c>
      <c r="C11" s="3">
        <v>698055870.87</v>
      </c>
      <c r="D11" s="3">
        <v>133654576.78</v>
      </c>
      <c r="E11" s="3">
        <v>831710447.64999998</v>
      </c>
      <c r="F11" s="3">
        <v>57811578.759999998</v>
      </c>
      <c r="G11" s="3">
        <v>399840099.99000001</v>
      </c>
      <c r="H11" s="3">
        <v>399606291.52999997</v>
      </c>
      <c r="I11" s="3">
        <v>0</v>
      </c>
      <c r="J11" s="3">
        <v>399606291.52999997</v>
      </c>
      <c r="K11" s="3">
        <v>233808.46</v>
      </c>
      <c r="L11" s="3">
        <v>489681926.42000002</v>
      </c>
      <c r="M11" s="3">
        <v>298449579.33999997</v>
      </c>
      <c r="N11" s="3">
        <v>120650710.08</v>
      </c>
      <c r="O11" s="3">
        <v>419100289.42000002</v>
      </c>
      <c r="P11" s="3">
        <v>70581637</v>
      </c>
      <c r="Q11" s="3">
        <v>0</v>
      </c>
      <c r="R11" s="3">
        <v>0</v>
      </c>
      <c r="S11" s="3">
        <v>13003866.699999999</v>
      </c>
      <c r="T11" s="3">
        <v>13003866.699999999</v>
      </c>
      <c r="U11" s="3">
        <v>-13003866.699999999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889522026.40999997</v>
      </c>
      <c r="AG11" s="3">
        <v>698055870.87</v>
      </c>
      <c r="AH11" s="3">
        <v>133654576.78</v>
      </c>
      <c r="AI11" s="3">
        <v>831710447.64999998</v>
      </c>
      <c r="AJ11" s="3">
        <v>57811578.759999998</v>
      </c>
      <c r="AK11" s="2" t="s">
        <v>40</v>
      </c>
      <c r="AL11" s="2" t="s">
        <v>41</v>
      </c>
      <c r="AM11" s="3">
        <f>VLOOKUP(AL11,Table1[],2,FALSE)</f>
        <v>359054495</v>
      </c>
      <c r="AN11" s="3">
        <f>VLOOKUP(AL11,Table1[],3,FALSE)</f>
        <v>325589555</v>
      </c>
      <c r="AO11" s="3">
        <f>VLOOKUP($AL11,Table1[],4,FALSE)</f>
        <v>33464940</v>
      </c>
      <c r="AP11" s="3">
        <f>VLOOKUP($AL11,Table1[],5,FALSE)</f>
        <v>0</v>
      </c>
      <c r="AQ11" s="3">
        <f>VLOOKUP($AL11,Table1[],6,FALSE)</f>
        <v>0</v>
      </c>
      <c r="AR11" s="3">
        <f>VLOOKUP($AL11,Table1[],7,FALSE)</f>
        <v>0</v>
      </c>
      <c r="AS11" s="3">
        <f>VLOOKUP($AL11,Table1[],8,FALSE)</f>
        <v>359054495</v>
      </c>
    </row>
    <row r="12" spans="1:45" x14ac:dyDescent="0.35">
      <c r="A12" s="2" t="s">
        <v>42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2" t="s">
        <v>43</v>
      </c>
      <c r="AL12" s="2" t="s">
        <v>44</v>
      </c>
      <c r="AM12" s="3">
        <f>VLOOKUP(AL12,Table1[],2,FALSE)</f>
        <v>3390000000</v>
      </c>
      <c r="AN12" s="3">
        <f>VLOOKUP(AL12,Table1[],3,FALSE)</f>
        <v>3390000000</v>
      </c>
      <c r="AO12" s="3">
        <f>VLOOKUP($AL12,Table1[],4,FALSE)</f>
        <v>0</v>
      </c>
      <c r="AP12" s="3">
        <f>VLOOKUP($AL12,Table1[],5,FALSE)</f>
        <v>0</v>
      </c>
      <c r="AQ12" s="3">
        <f>VLOOKUP($AL12,Table1[],6,FALSE)</f>
        <v>0</v>
      </c>
      <c r="AR12" s="3">
        <f>VLOOKUP($AL12,Table1[],7,FALSE)</f>
        <v>0</v>
      </c>
      <c r="AS12" s="3">
        <f>VLOOKUP($AL12,Table1[],8,FALSE)</f>
        <v>3390000000</v>
      </c>
    </row>
    <row r="13" spans="1:45" x14ac:dyDescent="0.35">
      <c r="A13" s="2" t="s">
        <v>45</v>
      </c>
      <c r="B13" s="3">
        <v>85900</v>
      </c>
      <c r="C13" s="3">
        <v>85892.2</v>
      </c>
      <c r="D13" s="3">
        <v>0</v>
      </c>
      <c r="E13" s="3">
        <v>85892.2</v>
      </c>
      <c r="F13" s="3">
        <v>7.8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85900</v>
      </c>
      <c r="M13" s="3">
        <v>85892.2</v>
      </c>
      <c r="N13" s="3">
        <v>0</v>
      </c>
      <c r="O13" s="3">
        <v>85892.2</v>
      </c>
      <c r="P13" s="3">
        <v>7.8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85900</v>
      </c>
      <c r="AG13" s="3">
        <v>85892.2</v>
      </c>
      <c r="AH13" s="3">
        <v>0</v>
      </c>
      <c r="AI13" s="3">
        <v>85892.2</v>
      </c>
      <c r="AJ13" s="3">
        <v>7.8</v>
      </c>
      <c r="AK13" s="2" t="s">
        <v>46</v>
      </c>
      <c r="AL13" s="2" t="s">
        <v>47</v>
      </c>
      <c r="AM13" s="3">
        <f>VLOOKUP(AL13,Table1[],2,FALSE)</f>
        <v>37557200000</v>
      </c>
      <c r="AN13" s="3">
        <f>VLOOKUP(AL13,Table1[],3,FALSE)</f>
        <v>37557200000</v>
      </c>
      <c r="AO13" s="3">
        <f>VLOOKUP($AL13,Table1[],4,FALSE)</f>
        <v>0</v>
      </c>
      <c r="AP13" s="3">
        <f>VLOOKUP($AL13,Table1[],5,FALSE)</f>
        <v>0</v>
      </c>
      <c r="AQ13" s="3">
        <f>VLOOKUP($AL13,Table1[],6,FALSE)</f>
        <v>0</v>
      </c>
      <c r="AR13" s="3">
        <f>VLOOKUP($AL13,Table1[],7,FALSE)</f>
        <v>0</v>
      </c>
      <c r="AS13" s="3">
        <f>VLOOKUP($AL13,Table1[],8,FALSE)</f>
        <v>37557200000</v>
      </c>
    </row>
    <row r="14" spans="1:45" x14ac:dyDescent="0.35">
      <c r="A14" s="2" t="s">
        <v>48</v>
      </c>
      <c r="B14" s="3">
        <v>1640000000</v>
      </c>
      <c r="C14" s="3">
        <v>2924692278.3099999</v>
      </c>
      <c r="D14" s="3">
        <v>824335517.72000003</v>
      </c>
      <c r="E14" s="3">
        <v>3749027796.0300002</v>
      </c>
      <c r="F14" s="3">
        <v>-2109027796.03</v>
      </c>
      <c r="G14" s="3">
        <v>1640000000</v>
      </c>
      <c r="H14" s="3">
        <v>2952189971.3699999</v>
      </c>
      <c r="I14" s="3">
        <v>824195517.71000004</v>
      </c>
      <c r="J14" s="3">
        <v>3776385489.0799999</v>
      </c>
      <c r="K14" s="3">
        <v>-2136385489.0799999</v>
      </c>
      <c r="L14" s="3">
        <v>0</v>
      </c>
      <c r="M14" s="3">
        <v>-27497693.059999999</v>
      </c>
      <c r="N14" s="3">
        <v>0</v>
      </c>
      <c r="O14" s="3">
        <v>-27497693.059999999</v>
      </c>
      <c r="P14" s="3">
        <v>27497693.059999999</v>
      </c>
      <c r="Q14" s="3">
        <v>0</v>
      </c>
      <c r="R14" s="3">
        <v>0</v>
      </c>
      <c r="S14" s="3">
        <v>140000.01</v>
      </c>
      <c r="T14" s="3">
        <v>140000.01</v>
      </c>
      <c r="U14" s="3">
        <v>-140000.01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1640000000</v>
      </c>
      <c r="AG14" s="3">
        <v>2924692278.3099999</v>
      </c>
      <c r="AH14" s="3">
        <v>824335517.72000003</v>
      </c>
      <c r="AI14" s="3">
        <v>3749027796.0300002</v>
      </c>
      <c r="AJ14" s="3">
        <v>-2109027796.03</v>
      </c>
      <c r="AK14" s="2" t="s">
        <v>49</v>
      </c>
      <c r="AL14" s="2" t="s">
        <v>50</v>
      </c>
      <c r="AM14" s="3">
        <f>VLOOKUP(AL14,Table1[],2,FALSE)</f>
        <v>790000000</v>
      </c>
      <c r="AN14" s="3">
        <f>VLOOKUP(AL14,Table1[],3,FALSE)</f>
        <v>790000000</v>
      </c>
      <c r="AO14" s="3">
        <f>VLOOKUP($AL14,Table1[],4,FALSE)</f>
        <v>0</v>
      </c>
      <c r="AP14" s="3">
        <f>VLOOKUP($AL14,Table1[],5,FALSE)</f>
        <v>0</v>
      </c>
      <c r="AQ14" s="3">
        <f>VLOOKUP($AL14,Table1[],6,FALSE)</f>
        <v>0</v>
      </c>
      <c r="AR14" s="3">
        <f>VLOOKUP($AL14,Table1[],7,FALSE)</f>
        <v>0</v>
      </c>
      <c r="AS14" s="3">
        <f>VLOOKUP($AL14,Table1[],8,FALSE)</f>
        <v>790000000</v>
      </c>
    </row>
    <row r="15" spans="1:45" x14ac:dyDescent="0.35">
      <c r="A15" s="2" t="s">
        <v>51</v>
      </c>
      <c r="B15" s="3">
        <v>3229644147.48</v>
      </c>
      <c r="C15" s="3">
        <v>478211531.80000001</v>
      </c>
      <c r="D15" s="3">
        <v>1380695622.25</v>
      </c>
      <c r="E15" s="3">
        <v>1858907154.05</v>
      </c>
      <c r="F15" s="3">
        <v>1370736993.4300001</v>
      </c>
      <c r="G15" s="3">
        <v>104776583.01000001</v>
      </c>
      <c r="H15" s="3">
        <v>93485870.209999993</v>
      </c>
      <c r="I15" s="3">
        <v>0</v>
      </c>
      <c r="J15" s="3">
        <v>93485870.209999993</v>
      </c>
      <c r="K15" s="3">
        <v>11290712.800000001</v>
      </c>
      <c r="L15" s="3">
        <v>3124867564.4699998</v>
      </c>
      <c r="M15" s="3">
        <v>384725661.58999997</v>
      </c>
      <c r="N15" s="3">
        <v>1365474293.3900001</v>
      </c>
      <c r="O15" s="3">
        <v>1750199954.98</v>
      </c>
      <c r="P15" s="3">
        <v>1374667609.49</v>
      </c>
      <c r="Q15" s="3">
        <v>0</v>
      </c>
      <c r="R15" s="3">
        <v>0</v>
      </c>
      <c r="S15" s="3">
        <v>15221328.859999999</v>
      </c>
      <c r="T15" s="3">
        <v>15221328.859999999</v>
      </c>
      <c r="U15" s="3">
        <v>-15221328.859999999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3229644147.48</v>
      </c>
      <c r="AG15" s="3">
        <v>478211531.80000001</v>
      </c>
      <c r="AH15" s="3">
        <v>1380695622.25</v>
      </c>
      <c r="AI15" s="3">
        <v>1858907154.05</v>
      </c>
      <c r="AJ15" s="3">
        <v>1370736993.4300001</v>
      </c>
      <c r="AK15" s="2" t="s">
        <v>49</v>
      </c>
      <c r="AL15" s="2" t="s">
        <v>52</v>
      </c>
      <c r="AM15" s="3">
        <f>VLOOKUP(AL15,Table1[],2,FALSE)</f>
        <v>3500000000</v>
      </c>
      <c r="AN15" s="3">
        <f>VLOOKUP(AL15,Table1[],3,FALSE)</f>
        <v>1500000000</v>
      </c>
      <c r="AO15" s="3">
        <f>VLOOKUP($AL15,Table1[],4,FALSE)</f>
        <v>2000000000</v>
      </c>
      <c r="AP15" s="3">
        <f>VLOOKUP($AL15,Table1[],5,FALSE)</f>
        <v>0</v>
      </c>
      <c r="AQ15" s="3">
        <f>VLOOKUP($AL15,Table1[],6,FALSE)</f>
        <v>0</v>
      </c>
      <c r="AR15" s="3">
        <f>VLOOKUP($AL15,Table1[],7,FALSE)</f>
        <v>0</v>
      </c>
      <c r="AS15" s="3">
        <f>VLOOKUP($AL15,Table1[],8,FALSE)</f>
        <v>2700000000</v>
      </c>
    </row>
    <row r="16" spans="1:45" x14ac:dyDescent="0.35">
      <c r="A16" s="2" t="s">
        <v>53</v>
      </c>
      <c r="B16" s="3">
        <v>2120002000</v>
      </c>
      <c r="C16" s="3">
        <v>836847870.40999997</v>
      </c>
      <c r="D16" s="3">
        <v>1086005832.9100001</v>
      </c>
      <c r="E16" s="3">
        <v>1922853703.3199999</v>
      </c>
      <c r="F16" s="3">
        <v>197148296.68000001</v>
      </c>
      <c r="G16" s="3">
        <v>836495967.91999996</v>
      </c>
      <c r="H16" s="3">
        <v>831649684.02999997</v>
      </c>
      <c r="I16" s="3">
        <v>0</v>
      </c>
      <c r="J16" s="3">
        <v>831649684.02999997</v>
      </c>
      <c r="K16" s="3">
        <v>4846283.8899999997</v>
      </c>
      <c r="L16" s="3">
        <v>1283506032.0799999</v>
      </c>
      <c r="M16" s="3">
        <v>5198186.38</v>
      </c>
      <c r="N16" s="3">
        <v>1086005832.9100001</v>
      </c>
      <c r="O16" s="3">
        <v>1091204019.29</v>
      </c>
      <c r="P16" s="3">
        <v>192302012.78999999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2120002000</v>
      </c>
      <c r="AG16" s="3">
        <v>836847870.40999997</v>
      </c>
      <c r="AH16" s="3">
        <v>1086005832.9100001</v>
      </c>
      <c r="AI16" s="3">
        <v>1922853703.3199999</v>
      </c>
      <c r="AJ16" s="3">
        <v>197148296.68000001</v>
      </c>
      <c r="AK16" s="2" t="s">
        <v>54</v>
      </c>
      <c r="AL16" s="2" t="s">
        <v>55</v>
      </c>
      <c r="AM16" s="3">
        <f>VLOOKUP(AL16,Table1[],2,FALSE)</f>
        <v>3787793152</v>
      </c>
      <c r="AN16" s="3">
        <f>VLOOKUP(AL16,Table1[],3,FALSE)</f>
        <v>3787793152</v>
      </c>
      <c r="AO16" s="3">
        <f>VLOOKUP($AL16,Table1[],4,FALSE)</f>
        <v>0</v>
      </c>
      <c r="AP16" s="3">
        <f>VLOOKUP($AL16,Table1[],5,FALSE)</f>
        <v>0</v>
      </c>
      <c r="AQ16" s="3">
        <f>VLOOKUP($AL16,Table1[],6,FALSE)</f>
        <v>0</v>
      </c>
      <c r="AR16" s="3">
        <f>VLOOKUP($AL16,Table1[],7,FALSE)</f>
        <v>0</v>
      </c>
      <c r="AS16" s="3">
        <f>VLOOKUP($AL16,Table1[],8,FALSE)</f>
        <v>11092690297</v>
      </c>
    </row>
    <row r="17" spans="1:45" x14ac:dyDescent="0.35">
      <c r="A17" s="2" t="s">
        <v>56</v>
      </c>
      <c r="B17" s="3">
        <v>10651836379.309999</v>
      </c>
      <c r="C17" s="3">
        <v>9467318887.8600006</v>
      </c>
      <c r="D17" s="3">
        <v>1122296970.99</v>
      </c>
      <c r="E17" s="3">
        <v>10589615858.85</v>
      </c>
      <c r="F17" s="3">
        <v>62220520.460000001</v>
      </c>
      <c r="G17" s="3">
        <v>6393037444.2799997</v>
      </c>
      <c r="H17" s="3">
        <v>6644655814.4300003</v>
      </c>
      <c r="I17" s="3">
        <v>40616472.75</v>
      </c>
      <c r="J17" s="3">
        <v>6685272287.1800003</v>
      </c>
      <c r="K17" s="3">
        <v>-292234842.89999998</v>
      </c>
      <c r="L17" s="3">
        <v>4258798935.0300002</v>
      </c>
      <c r="M17" s="3">
        <v>2822663073.4299998</v>
      </c>
      <c r="N17" s="3">
        <v>1081680498.24</v>
      </c>
      <c r="O17" s="3">
        <v>3904343571.6700001</v>
      </c>
      <c r="P17" s="3">
        <v>354455363.36000001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10651836379.309999</v>
      </c>
      <c r="AG17" s="3">
        <v>9467318887.8600006</v>
      </c>
      <c r="AH17" s="3">
        <v>1122296970.99</v>
      </c>
      <c r="AI17" s="3">
        <v>10589615858.85</v>
      </c>
      <c r="AJ17" s="3">
        <v>62220520.460000001</v>
      </c>
      <c r="AK17" s="2" t="s">
        <v>57</v>
      </c>
      <c r="AL17" s="2" t="s">
        <v>58</v>
      </c>
      <c r="AM17" s="3">
        <f>VLOOKUP(AL17,Table1[],2,FALSE)</f>
        <v>1162278</v>
      </c>
      <c r="AN17" s="3">
        <f>VLOOKUP(AL17,Table1[],3,FALSE)</f>
        <v>1162278</v>
      </c>
      <c r="AO17" s="3">
        <f>VLOOKUP($AL17,Table1[],4,FALSE)</f>
        <v>0</v>
      </c>
      <c r="AP17" s="3">
        <f>VLOOKUP($AL17,Table1[],5,FALSE)</f>
        <v>0</v>
      </c>
      <c r="AQ17" s="3">
        <f>VLOOKUP($AL17,Table1[],6,FALSE)</f>
        <v>0</v>
      </c>
      <c r="AR17" s="3">
        <f>VLOOKUP($AL17,Table1[],7,FALSE)</f>
        <v>0</v>
      </c>
      <c r="AS17" s="3">
        <f>VLOOKUP($AL17,Table1[],8,FALSE)</f>
        <v>9148902993</v>
      </c>
    </row>
    <row r="18" spans="1:45" x14ac:dyDescent="0.35">
      <c r="A18" s="2" t="s">
        <v>59</v>
      </c>
      <c r="B18" s="3">
        <v>2400000000</v>
      </c>
      <c r="C18" s="3">
        <v>1957927320.24</v>
      </c>
      <c r="D18" s="3">
        <v>0</v>
      </c>
      <c r="E18" s="3">
        <v>1957927320.24</v>
      </c>
      <c r="F18" s="3">
        <v>442072679.75999999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2400000000</v>
      </c>
      <c r="M18" s="3">
        <v>1957927320.24</v>
      </c>
      <c r="N18" s="3">
        <v>0</v>
      </c>
      <c r="O18" s="3">
        <v>1957927320.24</v>
      </c>
      <c r="P18" s="3">
        <v>442072679.75999999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2400000000</v>
      </c>
      <c r="AG18" s="3">
        <v>1957927320.24</v>
      </c>
      <c r="AH18" s="3">
        <v>0</v>
      </c>
      <c r="AI18" s="3">
        <v>1957927320.24</v>
      </c>
      <c r="AJ18" s="3">
        <v>442072679.75999999</v>
      </c>
      <c r="AK18" s="2" t="s">
        <v>60</v>
      </c>
      <c r="AL18" s="2" t="s">
        <v>61</v>
      </c>
      <c r="AM18" s="3">
        <f>VLOOKUP(AL18,Table1[],2,FALSE)</f>
        <v>4805000000</v>
      </c>
      <c r="AN18" s="3">
        <f>VLOOKUP(AL18,Table1[],3,FALSE)</f>
        <v>0</v>
      </c>
      <c r="AO18" s="3">
        <f>VLOOKUP($AL18,Table1[],4,FALSE)</f>
        <v>4805000000</v>
      </c>
      <c r="AP18" s="3">
        <f>VLOOKUP($AL18,Table1[],5,FALSE)</f>
        <v>0</v>
      </c>
      <c r="AQ18" s="3">
        <f>VLOOKUP($AL18,Table1[],6,FALSE)</f>
        <v>0</v>
      </c>
      <c r="AR18" s="3">
        <f>VLOOKUP($AL18,Table1[],7,FALSE)</f>
        <v>0</v>
      </c>
      <c r="AS18" s="3">
        <f>VLOOKUP($AL18,Table1[],8,FALSE)</f>
        <v>4805000000</v>
      </c>
    </row>
    <row r="19" spans="1:45" x14ac:dyDescent="0.35">
      <c r="A19" s="2" t="s">
        <v>62</v>
      </c>
      <c r="B19" s="3">
        <v>60180000</v>
      </c>
      <c r="C19" s="3">
        <v>0</v>
      </c>
      <c r="D19" s="3">
        <v>0</v>
      </c>
      <c r="E19" s="3">
        <v>0</v>
      </c>
      <c r="F19" s="3">
        <v>60180000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60180000</v>
      </c>
      <c r="M19" s="3">
        <v>0</v>
      </c>
      <c r="N19" s="3">
        <v>0</v>
      </c>
      <c r="O19" s="3">
        <v>0</v>
      </c>
      <c r="P19" s="3">
        <v>60180000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60180000</v>
      </c>
      <c r="AG19" s="3">
        <v>0</v>
      </c>
      <c r="AH19" s="3">
        <v>0</v>
      </c>
      <c r="AI19" s="3">
        <v>0</v>
      </c>
      <c r="AJ19" s="3">
        <v>60180000</v>
      </c>
      <c r="AK19" s="2" t="s">
        <v>63</v>
      </c>
      <c r="AL19" s="2" t="s">
        <v>64</v>
      </c>
      <c r="AM19" s="3" t="e">
        <f>VLOOKUP(AL19,Table1[],2,FALSE)</f>
        <v>#N/A</v>
      </c>
      <c r="AN19" s="3" t="e">
        <f>VLOOKUP(AL19,Table1[],3,FALSE)</f>
        <v>#N/A</v>
      </c>
      <c r="AO19" s="3" t="e">
        <f>VLOOKUP($AL19,Table1[],4,FALSE)</f>
        <v>#N/A</v>
      </c>
      <c r="AP19" s="3" t="e">
        <f>VLOOKUP($AL19,Table1[],5,FALSE)</f>
        <v>#N/A</v>
      </c>
      <c r="AQ19" s="3" t="e">
        <f>VLOOKUP($AL19,Table1[],6,FALSE)</f>
        <v>#N/A</v>
      </c>
      <c r="AR19" s="3" t="e">
        <f>VLOOKUP($AL19,Table1[],7,FALSE)</f>
        <v>#N/A</v>
      </c>
      <c r="AS19" s="3" t="e">
        <f>VLOOKUP($AL19,Table1[],8,FALSE)</f>
        <v>#N/A</v>
      </c>
    </row>
    <row r="20" spans="1:45" x14ac:dyDescent="0.35">
      <c r="A20" s="2" t="s">
        <v>65</v>
      </c>
      <c r="B20" s="3">
        <v>10669830</v>
      </c>
      <c r="C20" s="3">
        <v>10289078.01</v>
      </c>
      <c r="D20" s="3">
        <v>380751.03</v>
      </c>
      <c r="E20" s="3">
        <v>10669829.039999999</v>
      </c>
      <c r="F20" s="3">
        <v>0.96</v>
      </c>
      <c r="G20" s="3">
        <v>0</v>
      </c>
      <c r="H20" s="3">
        <v>10289078.01</v>
      </c>
      <c r="I20" s="3">
        <v>0</v>
      </c>
      <c r="J20" s="3">
        <v>10289078.01</v>
      </c>
      <c r="K20" s="3">
        <v>-10289078.01</v>
      </c>
      <c r="L20" s="3">
        <v>10669830</v>
      </c>
      <c r="M20" s="3">
        <v>0</v>
      </c>
      <c r="N20" s="3">
        <v>380751.03</v>
      </c>
      <c r="O20" s="3">
        <v>380751.03</v>
      </c>
      <c r="P20" s="3">
        <v>10289078.970000001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10669830</v>
      </c>
      <c r="AG20" s="3">
        <v>10289078.01</v>
      </c>
      <c r="AH20" s="3">
        <v>380751.03</v>
      </c>
      <c r="AI20" s="3">
        <v>10669829.039999999</v>
      </c>
      <c r="AJ20" s="3">
        <v>0.96</v>
      </c>
      <c r="AK20" s="2" t="s">
        <v>66</v>
      </c>
      <c r="AL20" s="2" t="s">
        <v>67</v>
      </c>
      <c r="AM20" s="3">
        <f>VLOOKUP(AL20,Table1[],2,FALSE)</f>
        <v>6669830</v>
      </c>
      <c r="AN20" s="3">
        <f>VLOOKUP(AL20,Table1[],3,FALSE)</f>
        <v>6669830</v>
      </c>
      <c r="AO20" s="3">
        <f>VLOOKUP($AL20,Table1[],4,FALSE)</f>
        <v>0</v>
      </c>
      <c r="AP20" s="3">
        <f>VLOOKUP($AL20,Table1[],5,FALSE)</f>
        <v>0</v>
      </c>
      <c r="AQ20" s="3">
        <f>VLOOKUP($AL20,Table1[],6,FALSE)</f>
        <v>0</v>
      </c>
      <c r="AR20" s="3">
        <f>VLOOKUP($AL20,Table1[],7,FALSE)</f>
        <v>0</v>
      </c>
      <c r="AS20" s="3">
        <f>VLOOKUP($AL20,Table1[],8,FALSE)</f>
        <v>10669830</v>
      </c>
    </row>
    <row r="21" spans="1:45" x14ac:dyDescent="0.35">
      <c r="A21" s="2" t="s">
        <v>68</v>
      </c>
      <c r="B21" s="3">
        <v>175000000</v>
      </c>
      <c r="C21" s="3">
        <v>453596291.77999997</v>
      </c>
      <c r="D21" s="3">
        <v>144501373.34</v>
      </c>
      <c r="E21" s="3">
        <v>598097665.12</v>
      </c>
      <c r="F21" s="3">
        <v>-423097665.12</v>
      </c>
      <c r="G21" s="3">
        <v>175000000</v>
      </c>
      <c r="H21" s="3">
        <v>453596291.77999997</v>
      </c>
      <c r="I21" s="3">
        <v>0</v>
      </c>
      <c r="J21" s="3">
        <v>453596291.77999997</v>
      </c>
      <c r="K21" s="3">
        <v>-278596291.77999997</v>
      </c>
      <c r="L21" s="3">
        <v>0</v>
      </c>
      <c r="M21" s="3">
        <v>0</v>
      </c>
      <c r="N21" s="3">
        <v>144501373.34</v>
      </c>
      <c r="O21" s="3">
        <v>144501373.34</v>
      </c>
      <c r="P21" s="3">
        <v>-144501373.34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175000000</v>
      </c>
      <c r="AG21" s="3">
        <v>453596291.77999997</v>
      </c>
      <c r="AH21" s="3">
        <v>144501373.34</v>
      </c>
      <c r="AI21" s="3">
        <v>598097665.12</v>
      </c>
      <c r="AJ21" s="3">
        <v>-423097665.12</v>
      </c>
      <c r="AK21" s="2" t="s">
        <v>69</v>
      </c>
      <c r="AL21" s="2" t="s">
        <v>70</v>
      </c>
      <c r="AM21" s="3">
        <f>VLOOKUP(AL21,Table1[],2,FALSE)</f>
        <v>0</v>
      </c>
      <c r="AN21" s="3">
        <f>VLOOKUP(AL21,Table1[],3,FALSE)</f>
        <v>0</v>
      </c>
      <c r="AO21" s="3">
        <f>VLOOKUP($AL21,Table1[],4,FALSE)</f>
        <v>0</v>
      </c>
      <c r="AP21" s="3">
        <f>VLOOKUP($AL21,Table1[],5,FALSE)</f>
        <v>0</v>
      </c>
      <c r="AQ21" s="3">
        <f>VLOOKUP($AL21,Table1[],6,FALSE)</f>
        <v>0</v>
      </c>
      <c r="AR21" s="3">
        <f>VLOOKUP($AL21,Table1[],7,FALSE)</f>
        <v>0</v>
      </c>
      <c r="AS21" s="3">
        <f>VLOOKUP($AL21,Table1[],8,FALSE)</f>
        <v>0</v>
      </c>
    </row>
    <row r="22" spans="1:45" x14ac:dyDescent="0.35">
      <c r="A22" s="2" t="s">
        <v>71</v>
      </c>
      <c r="B22" s="3">
        <v>1807443528</v>
      </c>
      <c r="C22" s="3">
        <v>1254529420.1800001</v>
      </c>
      <c r="D22" s="3">
        <v>552896819.10000002</v>
      </c>
      <c r="E22" s="3">
        <v>1807426239.28</v>
      </c>
      <c r="F22" s="3">
        <v>17288.72</v>
      </c>
      <c r="G22" s="3">
        <v>850544</v>
      </c>
      <c r="H22" s="3">
        <v>850544</v>
      </c>
      <c r="I22" s="3">
        <v>0</v>
      </c>
      <c r="J22" s="3">
        <v>850544</v>
      </c>
      <c r="K22" s="3">
        <v>0</v>
      </c>
      <c r="L22" s="3">
        <v>1806592984</v>
      </c>
      <c r="M22" s="3">
        <v>1253678876.1800001</v>
      </c>
      <c r="N22" s="3">
        <v>552896819.10000002</v>
      </c>
      <c r="O22" s="3">
        <v>1806575695.28</v>
      </c>
      <c r="P22" s="3">
        <v>17288.72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1807443528</v>
      </c>
      <c r="AG22" s="3">
        <v>1254529420.1800001</v>
      </c>
      <c r="AH22" s="3">
        <v>552896819.10000002</v>
      </c>
      <c r="AI22" s="3">
        <v>1807426239.28</v>
      </c>
      <c r="AJ22" s="3">
        <v>17288.72</v>
      </c>
      <c r="AK22" s="2" t="s">
        <v>72</v>
      </c>
      <c r="AL22" s="2" t="s">
        <v>73</v>
      </c>
      <c r="AM22" s="3">
        <f>VLOOKUP(AL22,Table1[],2,FALSE)</f>
        <v>2951200000</v>
      </c>
      <c r="AN22" s="3">
        <f>VLOOKUP(AL22,Table1[],3,FALSE)</f>
        <v>2951200000</v>
      </c>
      <c r="AO22" s="3">
        <f>VLOOKUP($AL22,Table1[],4,FALSE)</f>
        <v>0</v>
      </c>
      <c r="AP22" s="3">
        <f>VLOOKUP($AL22,Table1[],5,FALSE)</f>
        <v>0</v>
      </c>
      <c r="AQ22" s="3">
        <f>VLOOKUP($AL22,Table1[],6,FALSE)</f>
        <v>0</v>
      </c>
      <c r="AR22" s="3">
        <f>VLOOKUP($AL22,Table1[],7,FALSE)</f>
        <v>0</v>
      </c>
      <c r="AS22" s="3">
        <f>VLOOKUP($AL22,Table1[],8,FALSE)</f>
        <v>2951200000</v>
      </c>
    </row>
    <row r="23" spans="1:45" x14ac:dyDescent="0.35">
      <c r="A23" s="2" t="s">
        <v>74</v>
      </c>
      <c r="B23" s="3">
        <v>522382455</v>
      </c>
      <c r="C23" s="3">
        <v>1420211.16</v>
      </c>
      <c r="D23" s="3">
        <v>902748.88</v>
      </c>
      <c r="E23" s="3">
        <v>2322960.04</v>
      </c>
      <c r="F23" s="3">
        <v>520059494.95999998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522382455</v>
      </c>
      <c r="M23" s="3">
        <v>1420211.16</v>
      </c>
      <c r="N23" s="3">
        <v>902748.88</v>
      </c>
      <c r="O23" s="3">
        <v>2322960.04</v>
      </c>
      <c r="P23" s="3">
        <v>520059494.95999998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522382455</v>
      </c>
      <c r="AG23" s="3">
        <v>1420211.16</v>
      </c>
      <c r="AH23" s="3">
        <v>902748.88</v>
      </c>
      <c r="AI23" s="3">
        <v>2322960.04</v>
      </c>
      <c r="AJ23" s="3">
        <v>520059494.95999998</v>
      </c>
      <c r="AK23" s="2" t="s">
        <v>75</v>
      </c>
      <c r="AL23" s="2" t="s">
        <v>76</v>
      </c>
      <c r="AM23" s="3">
        <f>VLOOKUP(AL23,Table1[],2,FALSE)</f>
        <v>12138960364</v>
      </c>
      <c r="AN23" s="3">
        <f>VLOOKUP(AL23,Table1[],3,FALSE)</f>
        <v>0</v>
      </c>
      <c r="AO23" s="3">
        <f>VLOOKUP($AL23,Table1[],4,FALSE)</f>
        <v>12138960364</v>
      </c>
      <c r="AP23" s="3">
        <f>VLOOKUP($AL23,Table1[],5,FALSE)</f>
        <v>0</v>
      </c>
      <c r="AQ23" s="3">
        <f>VLOOKUP($AL23,Table1[],6,FALSE)</f>
        <v>0</v>
      </c>
      <c r="AR23" s="3">
        <f>VLOOKUP($AL23,Table1[],7,FALSE)</f>
        <v>0</v>
      </c>
      <c r="AS23" s="3">
        <f>VLOOKUP($AL23,Table1[],8,FALSE)</f>
        <v>12138960364</v>
      </c>
    </row>
    <row r="24" spans="1:45" x14ac:dyDescent="0.35">
      <c r="A24" s="2" t="s">
        <v>77</v>
      </c>
      <c r="B24" s="3">
        <v>1350000000</v>
      </c>
      <c r="C24" s="3">
        <v>1176000</v>
      </c>
      <c r="D24" s="3">
        <v>574000</v>
      </c>
      <c r="E24" s="3">
        <v>1750000</v>
      </c>
      <c r="F24" s="3">
        <v>1348250000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1350000000</v>
      </c>
      <c r="M24" s="3">
        <v>1176000</v>
      </c>
      <c r="N24" s="3">
        <v>574000</v>
      </c>
      <c r="O24" s="3">
        <v>1750000</v>
      </c>
      <c r="P24" s="3">
        <v>1348250000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1350000000</v>
      </c>
      <c r="AG24" s="3">
        <v>1176000</v>
      </c>
      <c r="AH24" s="3">
        <v>574000</v>
      </c>
      <c r="AI24" s="3">
        <v>1750000</v>
      </c>
      <c r="AJ24" s="3">
        <v>1348250000</v>
      </c>
      <c r="AK24" s="2" t="s">
        <v>78</v>
      </c>
      <c r="AL24" s="2" t="s">
        <v>79</v>
      </c>
      <c r="AM24" s="3">
        <f>VLOOKUP(AL24,Table1[],2,FALSE)</f>
        <v>0</v>
      </c>
      <c r="AN24" s="3">
        <f>VLOOKUP(AL24,Table1[],3,FALSE)</f>
        <v>0</v>
      </c>
      <c r="AO24" s="3">
        <f>VLOOKUP($AL24,Table1[],4,FALSE)</f>
        <v>0</v>
      </c>
      <c r="AP24" s="3">
        <f>VLOOKUP($AL24,Table1[],5,FALSE)</f>
        <v>0</v>
      </c>
      <c r="AQ24" s="3">
        <f>VLOOKUP($AL24,Table1[],6,FALSE)</f>
        <v>0</v>
      </c>
      <c r="AR24" s="3">
        <f>VLOOKUP($AL24,Table1[],7,FALSE)</f>
        <v>0</v>
      </c>
      <c r="AS24" s="3">
        <f>VLOOKUP($AL24,Table1[],8,FALSE)</f>
        <v>0</v>
      </c>
    </row>
    <row r="25" spans="1:45" x14ac:dyDescent="0.35">
      <c r="A25" s="2" t="s">
        <v>80</v>
      </c>
      <c r="B25" s="3">
        <v>37386464.700000003</v>
      </c>
      <c r="C25" s="3">
        <v>45813962.719999999</v>
      </c>
      <c r="D25" s="3">
        <v>1018104</v>
      </c>
      <c r="E25" s="3">
        <v>46832066.719999999</v>
      </c>
      <c r="F25" s="3">
        <v>-9445602.0199999996</v>
      </c>
      <c r="G25" s="3">
        <v>28694847.899999999</v>
      </c>
      <c r="H25" s="3">
        <v>38047110.68</v>
      </c>
      <c r="I25" s="3">
        <v>0</v>
      </c>
      <c r="J25" s="3">
        <v>38047110.68</v>
      </c>
      <c r="K25" s="3">
        <v>-9352262.7799999993</v>
      </c>
      <c r="L25" s="3">
        <v>8691616.8000000007</v>
      </c>
      <c r="M25" s="3">
        <v>7766852.04</v>
      </c>
      <c r="N25" s="3">
        <v>1018104</v>
      </c>
      <c r="O25" s="3">
        <v>8784956.0399999991</v>
      </c>
      <c r="P25" s="3">
        <v>-93339.24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37386464.700000003</v>
      </c>
      <c r="AG25" s="3">
        <v>45813962.719999999</v>
      </c>
      <c r="AH25" s="3">
        <v>1018104</v>
      </c>
      <c r="AI25" s="3">
        <v>46832066.719999999</v>
      </c>
      <c r="AJ25" s="3">
        <v>-9445602.0199999996</v>
      </c>
      <c r="AK25" s="2" t="s">
        <v>81</v>
      </c>
      <c r="AL25" s="2" t="s">
        <v>82</v>
      </c>
      <c r="AM25" s="3">
        <f>VLOOKUP(AL25,Table1[],2,FALSE)</f>
        <v>668500000</v>
      </c>
      <c r="AN25" s="3">
        <f>VLOOKUP(AL25,Table1[],3,FALSE)</f>
        <v>668500000</v>
      </c>
      <c r="AO25" s="3">
        <f>VLOOKUP($AL25,Table1[],4,FALSE)</f>
        <v>0</v>
      </c>
      <c r="AP25" s="3">
        <f>VLOOKUP($AL25,Table1[],5,FALSE)</f>
        <v>0</v>
      </c>
      <c r="AQ25" s="3">
        <f>VLOOKUP($AL25,Table1[],6,FALSE)</f>
        <v>0</v>
      </c>
      <c r="AR25" s="3">
        <f>VLOOKUP($AL25,Table1[],7,FALSE)</f>
        <v>0</v>
      </c>
      <c r="AS25" s="3">
        <f>VLOOKUP($AL25,Table1[],8,FALSE)</f>
        <v>668500000</v>
      </c>
    </row>
    <row r="26" spans="1:45" x14ac:dyDescent="0.35">
      <c r="A26" s="2" t="s">
        <v>83</v>
      </c>
      <c r="B26" s="3">
        <v>1058534096</v>
      </c>
      <c r="C26" s="3">
        <v>784932907.60000002</v>
      </c>
      <c r="D26" s="3">
        <v>211412679.68000001</v>
      </c>
      <c r="E26" s="3">
        <v>996345587.27999997</v>
      </c>
      <c r="F26" s="3">
        <v>62188508.719999999</v>
      </c>
      <c r="G26" s="3">
        <v>547292042.55999994</v>
      </c>
      <c r="H26" s="3">
        <v>547292042.55999994</v>
      </c>
      <c r="I26" s="3">
        <v>0</v>
      </c>
      <c r="J26" s="3">
        <v>547292042.55999994</v>
      </c>
      <c r="K26" s="3">
        <v>0</v>
      </c>
      <c r="L26" s="3">
        <v>511242053.44</v>
      </c>
      <c r="M26" s="3">
        <v>237640865.03999999</v>
      </c>
      <c r="N26" s="3">
        <v>211412679.68000001</v>
      </c>
      <c r="O26" s="3">
        <v>449053544.72000003</v>
      </c>
      <c r="P26" s="3">
        <v>62188508.719999999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1058534096</v>
      </c>
      <c r="AG26" s="3">
        <v>784932907.60000002</v>
      </c>
      <c r="AH26" s="3">
        <v>211412679.68000001</v>
      </c>
      <c r="AI26" s="3">
        <v>996345587.27999997</v>
      </c>
      <c r="AJ26" s="3">
        <v>62188508.719999999</v>
      </c>
      <c r="AK26" s="2" t="s">
        <v>84</v>
      </c>
      <c r="AL26" s="2" t="s">
        <v>85</v>
      </c>
      <c r="AM26" s="3">
        <f>VLOOKUP(AL26,Table1[],2,FALSE)</f>
        <v>1058534096</v>
      </c>
      <c r="AN26" s="3">
        <f>VLOOKUP(AL26,Table1[],3,FALSE)</f>
        <v>1058534096</v>
      </c>
      <c r="AO26" s="3">
        <f>VLOOKUP($AL26,Table1[],4,FALSE)</f>
        <v>0</v>
      </c>
      <c r="AP26" s="3">
        <f>VLOOKUP($AL26,Table1[],5,FALSE)</f>
        <v>0</v>
      </c>
      <c r="AQ26" s="3">
        <f>VLOOKUP($AL26,Table1[],6,FALSE)</f>
        <v>0</v>
      </c>
      <c r="AR26" s="3">
        <f>VLOOKUP($AL26,Table1[],7,FALSE)</f>
        <v>0</v>
      </c>
      <c r="AS26" s="3">
        <f>VLOOKUP($AL26,Table1[],8,FALSE)</f>
        <v>1058534096</v>
      </c>
    </row>
    <row r="27" spans="1:45" x14ac:dyDescent="0.35">
      <c r="A27" s="2" t="s">
        <v>86</v>
      </c>
      <c r="B27" s="3">
        <v>173380000</v>
      </c>
      <c r="C27" s="3">
        <v>6139687.5</v>
      </c>
      <c r="D27" s="3">
        <v>5321062.5</v>
      </c>
      <c r="E27" s="3">
        <v>11460750</v>
      </c>
      <c r="F27" s="3">
        <v>161919250</v>
      </c>
      <c r="G27" s="3">
        <v>2455875</v>
      </c>
      <c r="H27" s="3">
        <v>2455875</v>
      </c>
      <c r="I27" s="3">
        <v>0</v>
      </c>
      <c r="J27" s="3">
        <v>2455875</v>
      </c>
      <c r="K27" s="3">
        <v>0</v>
      </c>
      <c r="L27" s="3">
        <v>170924125</v>
      </c>
      <c r="M27" s="3">
        <v>3683812.5</v>
      </c>
      <c r="N27" s="3">
        <v>5321062.5</v>
      </c>
      <c r="O27" s="3">
        <v>9004875</v>
      </c>
      <c r="P27" s="3">
        <v>161919250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173380000</v>
      </c>
      <c r="AG27" s="3">
        <v>6139687.5</v>
      </c>
      <c r="AH27" s="3">
        <v>5321062.5</v>
      </c>
      <c r="AI27" s="3">
        <v>11460750</v>
      </c>
      <c r="AJ27" s="3">
        <v>161919250</v>
      </c>
      <c r="AK27" s="2" t="s">
        <v>87</v>
      </c>
      <c r="AL27" s="2" t="s">
        <v>88</v>
      </c>
      <c r="AM27" s="3">
        <f>VLOOKUP(AL27,Table1[],2,FALSE)</f>
        <v>6720</v>
      </c>
      <c r="AN27" s="3">
        <f>VLOOKUP(AL27,Table1[],3,FALSE)</f>
        <v>6720</v>
      </c>
      <c r="AO27" s="3">
        <f>VLOOKUP($AL27,Table1[],4,FALSE)</f>
        <v>0</v>
      </c>
      <c r="AP27" s="3">
        <f>VLOOKUP($AL27,Table1[],5,FALSE)</f>
        <v>0</v>
      </c>
      <c r="AQ27" s="3">
        <f>VLOOKUP($AL27,Table1[],6,FALSE)</f>
        <v>0</v>
      </c>
      <c r="AR27" s="3">
        <f>VLOOKUP($AL27,Table1[],7,FALSE)</f>
        <v>0</v>
      </c>
      <c r="AS27" s="3">
        <f>VLOOKUP($AL27,Table1[],8,FALSE)</f>
        <v>6551</v>
      </c>
    </row>
    <row r="28" spans="1:45" x14ac:dyDescent="0.35">
      <c r="A28" s="2" t="s">
        <v>89</v>
      </c>
      <c r="B28" s="3">
        <v>4228245116.1100001</v>
      </c>
      <c r="C28" s="3">
        <v>1471810906.1500001</v>
      </c>
      <c r="D28" s="3">
        <v>1316122677.9100001</v>
      </c>
      <c r="E28" s="3">
        <v>2787933584.0599999</v>
      </c>
      <c r="F28" s="3">
        <v>1440311532.05</v>
      </c>
      <c r="G28" s="3">
        <v>1003676417.0599999</v>
      </c>
      <c r="H28" s="3">
        <v>1004829466.45</v>
      </c>
      <c r="I28" s="3">
        <v>0</v>
      </c>
      <c r="J28" s="3">
        <v>1004829466.45</v>
      </c>
      <c r="K28" s="3">
        <v>-1153049.3899999999</v>
      </c>
      <c r="L28" s="3">
        <v>3224568699.0500002</v>
      </c>
      <c r="M28" s="3">
        <v>466981439.69999999</v>
      </c>
      <c r="N28" s="3">
        <v>1316122677.9100001</v>
      </c>
      <c r="O28" s="3">
        <v>1783104117.6099999</v>
      </c>
      <c r="P28" s="3">
        <v>1441464581.4400001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4228245116.1100001</v>
      </c>
      <c r="AG28" s="3">
        <v>1471810906.1500001</v>
      </c>
      <c r="AH28" s="3">
        <v>1316122677.9100001</v>
      </c>
      <c r="AI28" s="3">
        <v>2787933584.0599999</v>
      </c>
      <c r="AJ28" s="3">
        <v>1440311532.05</v>
      </c>
      <c r="AK28" s="2" t="s">
        <v>90</v>
      </c>
      <c r="AL28" s="2" t="s">
        <v>91</v>
      </c>
      <c r="AM28" s="3">
        <f>VLOOKUP(AL28,Table1[],2,FALSE)</f>
        <v>12542700000</v>
      </c>
      <c r="AN28" s="3">
        <f>VLOOKUP(AL28,Table1[],3,FALSE)</f>
        <v>11542700000</v>
      </c>
      <c r="AO28" s="3">
        <f>VLOOKUP($AL28,Table1[],4,FALSE)</f>
        <v>1000000000</v>
      </c>
      <c r="AP28" s="3">
        <f>VLOOKUP($AL28,Table1[],5,FALSE)</f>
        <v>0</v>
      </c>
      <c r="AQ28" s="3">
        <f>VLOOKUP($AL28,Table1[],6,FALSE)</f>
        <v>0</v>
      </c>
      <c r="AR28" s="3">
        <f>VLOOKUP($AL28,Table1[],7,FALSE)</f>
        <v>0</v>
      </c>
      <c r="AS28" s="3">
        <f>VLOOKUP($AL28,Table1[],8,FALSE)</f>
        <v>11542700000</v>
      </c>
    </row>
    <row r="29" spans="1:45" x14ac:dyDescent="0.35">
      <c r="A29" s="2" t="s">
        <v>92</v>
      </c>
      <c r="B29" s="3">
        <v>6029690000</v>
      </c>
      <c r="C29" s="3">
        <v>1529689520</v>
      </c>
      <c r="D29" s="3">
        <v>4465979254.3999996</v>
      </c>
      <c r="E29" s="3">
        <v>5995668774.3999996</v>
      </c>
      <c r="F29" s="3">
        <v>34021225.600000001</v>
      </c>
      <c r="G29" s="3">
        <v>1529689520</v>
      </c>
      <c r="H29" s="3">
        <v>1529689520</v>
      </c>
      <c r="I29" s="3">
        <v>0</v>
      </c>
      <c r="J29" s="3">
        <v>1529689520</v>
      </c>
      <c r="K29" s="3">
        <v>0</v>
      </c>
      <c r="L29" s="3">
        <v>4500000480</v>
      </c>
      <c r="M29" s="3">
        <v>0</v>
      </c>
      <c r="N29" s="3">
        <v>4465979254.3999996</v>
      </c>
      <c r="O29" s="3">
        <v>4465979254.3999996</v>
      </c>
      <c r="P29" s="3">
        <v>34021225.600000001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6029690000</v>
      </c>
      <c r="AG29" s="3">
        <v>1529689520</v>
      </c>
      <c r="AH29" s="3">
        <v>4465979254.3999996</v>
      </c>
      <c r="AI29" s="3">
        <v>5995668774.3999996</v>
      </c>
      <c r="AJ29" s="3">
        <v>34021225.600000001</v>
      </c>
      <c r="AK29" s="2" t="s">
        <v>93</v>
      </c>
      <c r="AL29" s="2" t="s">
        <v>94</v>
      </c>
      <c r="AM29" s="3">
        <f>VLOOKUP(AL29,Table1[],2,FALSE)</f>
        <v>0</v>
      </c>
      <c r="AN29" s="3">
        <f>VLOOKUP(AL29,Table1[],3,FALSE)</f>
        <v>0</v>
      </c>
      <c r="AO29" s="3">
        <f>VLOOKUP($AL29,Table1[],4,FALSE)</f>
        <v>0</v>
      </c>
      <c r="AP29" s="3">
        <f>VLOOKUP($AL29,Table1[],5,FALSE)</f>
        <v>0</v>
      </c>
      <c r="AQ29" s="3">
        <f>VLOOKUP($AL29,Table1[],6,FALSE)</f>
        <v>0</v>
      </c>
      <c r="AR29" s="3">
        <f>VLOOKUP($AL29,Table1[],7,FALSE)</f>
        <v>0</v>
      </c>
      <c r="AS29" s="3">
        <f>VLOOKUP($AL29,Table1[],8,FALSE)</f>
        <v>0</v>
      </c>
    </row>
    <row r="30" spans="1:45" x14ac:dyDescent="0.35">
      <c r="A30" s="2" t="s">
        <v>95</v>
      </c>
      <c r="B30" s="3">
        <v>310612947.58999997</v>
      </c>
      <c r="C30" s="3">
        <v>283409806.08999997</v>
      </c>
      <c r="D30" s="3">
        <v>27197650.309999999</v>
      </c>
      <c r="E30" s="3">
        <v>310607456.39999998</v>
      </c>
      <c r="F30" s="3">
        <v>5491.19</v>
      </c>
      <c r="G30" s="3">
        <v>257973124.93000001</v>
      </c>
      <c r="H30" s="3">
        <v>257973124.93000001</v>
      </c>
      <c r="I30" s="3">
        <v>0.59</v>
      </c>
      <c r="J30" s="3">
        <v>257973125.52000001</v>
      </c>
      <c r="K30" s="3">
        <v>-0.59</v>
      </c>
      <c r="L30" s="3">
        <v>52639822.659999996</v>
      </c>
      <c r="M30" s="3">
        <v>25436681.16</v>
      </c>
      <c r="N30" s="3">
        <v>27197649.719999999</v>
      </c>
      <c r="O30" s="3">
        <v>52634330.880000003</v>
      </c>
      <c r="P30" s="3">
        <v>5491.78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310612947.58999997</v>
      </c>
      <c r="AG30" s="3">
        <v>283409806.08999997</v>
      </c>
      <c r="AH30" s="3">
        <v>27197650.309999999</v>
      </c>
      <c r="AI30" s="3">
        <v>310607456.39999998</v>
      </c>
      <c r="AJ30" s="3">
        <v>5491.19</v>
      </c>
      <c r="AK30" s="2" t="s">
        <v>96</v>
      </c>
      <c r="AL30" s="2" t="s">
        <v>97</v>
      </c>
      <c r="AM30" s="3">
        <f>VLOOKUP(AL30,Table1[],2,FALSE)</f>
        <v>307545691</v>
      </c>
      <c r="AN30" s="3">
        <f>VLOOKUP(AL30,Table1[],3,FALSE)</f>
        <v>307545691</v>
      </c>
      <c r="AO30" s="3">
        <f>VLOOKUP($AL30,Table1[],4,FALSE)</f>
        <v>0</v>
      </c>
      <c r="AP30" s="3">
        <f>VLOOKUP($AL30,Table1[],5,FALSE)</f>
        <v>0</v>
      </c>
      <c r="AQ30" s="3">
        <f>VLOOKUP($AL30,Table1[],6,FALSE)</f>
        <v>0</v>
      </c>
      <c r="AR30" s="3">
        <f>VLOOKUP($AL30,Table1[],7,FALSE)</f>
        <v>0</v>
      </c>
      <c r="AS30" s="3">
        <f>VLOOKUP($AL30,Table1[],8,FALSE)</f>
        <v>307545691</v>
      </c>
    </row>
    <row r="31" spans="1:45" x14ac:dyDescent="0.35">
      <c r="A31" s="2" t="s">
        <v>98</v>
      </c>
      <c r="B31" s="3">
        <v>23203970</v>
      </c>
      <c r="C31" s="3">
        <v>18416660</v>
      </c>
      <c r="D31" s="3">
        <v>4604165</v>
      </c>
      <c r="E31" s="3">
        <v>23020825</v>
      </c>
      <c r="F31" s="3">
        <v>183145</v>
      </c>
      <c r="G31" s="3">
        <v>18416660</v>
      </c>
      <c r="H31" s="3">
        <v>18416660</v>
      </c>
      <c r="I31" s="3">
        <v>0</v>
      </c>
      <c r="J31" s="3">
        <v>18416660</v>
      </c>
      <c r="K31" s="3">
        <v>0</v>
      </c>
      <c r="L31" s="3">
        <v>4787310</v>
      </c>
      <c r="M31" s="3">
        <v>0</v>
      </c>
      <c r="N31" s="3">
        <v>4604165</v>
      </c>
      <c r="O31" s="3">
        <v>4604165</v>
      </c>
      <c r="P31" s="3">
        <v>183145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23203970</v>
      </c>
      <c r="AG31" s="3">
        <v>18416660</v>
      </c>
      <c r="AH31" s="3">
        <v>4604165</v>
      </c>
      <c r="AI31" s="3">
        <v>23020825</v>
      </c>
      <c r="AJ31" s="3">
        <v>183145</v>
      </c>
      <c r="AK31" s="2" t="s">
        <v>99</v>
      </c>
      <c r="AL31" s="2" t="s">
        <v>100</v>
      </c>
      <c r="AM31" s="3">
        <f>VLOOKUP(AL31,Table1[],2,FALSE)</f>
        <v>0</v>
      </c>
      <c r="AN31" s="3">
        <f>VLOOKUP(AL31,Table1[],3,FALSE)</f>
        <v>0</v>
      </c>
      <c r="AO31" s="3">
        <f>VLOOKUP($AL31,Table1[],4,FALSE)</f>
        <v>0</v>
      </c>
      <c r="AP31" s="3">
        <f>VLOOKUP($AL31,Table1[],5,FALSE)</f>
        <v>0</v>
      </c>
      <c r="AQ31" s="3">
        <f>VLOOKUP($AL31,Table1[],6,FALSE)</f>
        <v>0</v>
      </c>
      <c r="AR31" s="3">
        <f>VLOOKUP($AL31,Table1[],7,FALSE)</f>
        <v>0</v>
      </c>
      <c r="AS31" s="3">
        <f>VLOOKUP($AL31,Table1[],8,FALSE)</f>
        <v>0</v>
      </c>
    </row>
    <row r="32" spans="1:45" x14ac:dyDescent="0.35">
      <c r="A32" s="2" t="s">
        <v>101</v>
      </c>
      <c r="B32" s="3">
        <v>3439334918.1500001</v>
      </c>
      <c r="C32" s="3">
        <v>2896078366.8499999</v>
      </c>
      <c r="D32" s="3">
        <v>281949008.13</v>
      </c>
      <c r="E32" s="3">
        <v>3178027374.98</v>
      </c>
      <c r="F32" s="3">
        <v>261307543.16999999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3439334918.1500001</v>
      </c>
      <c r="M32" s="3">
        <v>2896078366.8499999</v>
      </c>
      <c r="N32" s="3">
        <v>281949008.13</v>
      </c>
      <c r="O32" s="3">
        <v>3178027374.98</v>
      </c>
      <c r="P32" s="3">
        <v>261307543.16999999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3439334918.1500001</v>
      </c>
      <c r="AG32" s="3">
        <v>2896078366.8499999</v>
      </c>
      <c r="AH32" s="3">
        <v>281949008.13</v>
      </c>
      <c r="AI32" s="3">
        <v>3178027374.98</v>
      </c>
      <c r="AJ32" s="3">
        <v>261307543.16999999</v>
      </c>
      <c r="AK32" s="2" t="s">
        <v>102</v>
      </c>
      <c r="AL32" s="2" t="s">
        <v>103</v>
      </c>
      <c r="AM32" s="3">
        <f>VLOOKUP(AL32,Table1[],2,FALSE)</f>
        <v>4207312750</v>
      </c>
      <c r="AN32" s="3">
        <f>VLOOKUP(AL32,Table1[],3,FALSE)</f>
        <v>4207312750</v>
      </c>
      <c r="AO32" s="3">
        <f>VLOOKUP($AL32,Table1[],4,FALSE)</f>
        <v>0</v>
      </c>
      <c r="AP32" s="3">
        <f>VLOOKUP($AL32,Table1[],5,FALSE)</f>
        <v>0</v>
      </c>
      <c r="AQ32" s="3">
        <f>VLOOKUP($AL32,Table1[],6,FALSE)</f>
        <v>0</v>
      </c>
      <c r="AR32" s="3">
        <f>VLOOKUP($AL32,Table1[],7,FALSE)</f>
        <v>0</v>
      </c>
      <c r="AS32" s="3">
        <f>VLOOKUP($AL32,Table1[],8,FALSE)</f>
        <v>4207312750</v>
      </c>
    </row>
    <row r="33" spans="1:45" x14ac:dyDescent="0.35">
      <c r="A33" s="2" t="s">
        <v>104</v>
      </c>
      <c r="B33" s="3">
        <v>1832848400</v>
      </c>
      <c r="C33" s="3">
        <v>338512013.31999999</v>
      </c>
      <c r="D33" s="3">
        <v>28515246.739999998</v>
      </c>
      <c r="E33" s="3">
        <v>367027260.06</v>
      </c>
      <c r="F33" s="3">
        <v>1465821139.9400001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1832848400</v>
      </c>
      <c r="M33" s="3">
        <v>338512013.31999999</v>
      </c>
      <c r="N33" s="3">
        <v>14783162.74</v>
      </c>
      <c r="O33" s="3">
        <v>353295176.06</v>
      </c>
      <c r="P33" s="3">
        <v>1479553223.9400001</v>
      </c>
      <c r="Q33" s="3">
        <v>0</v>
      </c>
      <c r="R33" s="3">
        <v>0</v>
      </c>
      <c r="S33" s="3">
        <v>13732084</v>
      </c>
      <c r="T33" s="3">
        <v>13732084</v>
      </c>
      <c r="U33" s="3">
        <v>-13732084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1832848400</v>
      </c>
      <c r="AG33" s="3">
        <v>338512013.31999999</v>
      </c>
      <c r="AH33" s="3">
        <v>28515246.739999998</v>
      </c>
      <c r="AI33" s="3">
        <v>367027260.06</v>
      </c>
      <c r="AJ33" s="3">
        <v>1465821139.9400001</v>
      </c>
      <c r="AK33" s="2" t="s">
        <v>105</v>
      </c>
      <c r="AL33" s="2" t="s">
        <v>106</v>
      </c>
      <c r="AM33" s="3">
        <f>VLOOKUP(AL33,Table1[],2,FALSE)</f>
        <v>4962100000</v>
      </c>
      <c r="AN33" s="3">
        <f>VLOOKUP(AL33,Table1[],3,FALSE)</f>
        <v>0</v>
      </c>
      <c r="AO33" s="3">
        <f>VLOOKUP($AL33,Table1[],4,FALSE)</f>
        <v>4962100000</v>
      </c>
      <c r="AP33" s="3">
        <f>VLOOKUP($AL33,Table1[],5,FALSE)</f>
        <v>0</v>
      </c>
      <c r="AQ33" s="3">
        <f>VLOOKUP($AL33,Table1[],6,FALSE)</f>
        <v>0</v>
      </c>
      <c r="AR33" s="3">
        <f>VLOOKUP($AL33,Table1[],7,FALSE)</f>
        <v>0</v>
      </c>
      <c r="AS33" s="3">
        <f>VLOOKUP($AL33,Table1[],8,FALSE)</f>
        <v>4962100000</v>
      </c>
    </row>
    <row r="34" spans="1:45" x14ac:dyDescent="0.35">
      <c r="A34" s="2" t="s">
        <v>107</v>
      </c>
      <c r="B34" s="3">
        <v>2049073138</v>
      </c>
      <c r="C34" s="3">
        <v>80306641.090000004</v>
      </c>
      <c r="D34" s="3">
        <v>205774959.66999999</v>
      </c>
      <c r="E34" s="3">
        <v>286081600.75999999</v>
      </c>
      <c r="F34" s="3">
        <v>1762991537.24</v>
      </c>
      <c r="G34" s="3">
        <v>25939462.34</v>
      </c>
      <c r="H34" s="3">
        <v>25939462.34</v>
      </c>
      <c r="I34" s="3">
        <v>172507740</v>
      </c>
      <c r="J34" s="3">
        <v>198447202.34</v>
      </c>
      <c r="K34" s="3">
        <v>-172507740</v>
      </c>
      <c r="L34" s="3">
        <v>2023133675.6600001</v>
      </c>
      <c r="M34" s="3">
        <v>54367178.75</v>
      </c>
      <c r="N34" s="3">
        <v>33267219.670000002</v>
      </c>
      <c r="O34" s="3">
        <v>87634398.420000002</v>
      </c>
      <c r="P34" s="3">
        <v>1935499277.24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2049073138</v>
      </c>
      <c r="AG34" s="3">
        <v>80306641.090000004</v>
      </c>
      <c r="AH34" s="3">
        <v>205774959.66999999</v>
      </c>
      <c r="AI34" s="3">
        <v>286081600.75999999</v>
      </c>
      <c r="AJ34" s="3">
        <v>1762991537.24</v>
      </c>
      <c r="AK34" s="2" t="s">
        <v>108</v>
      </c>
      <c r="AL34" s="2" t="s">
        <v>109</v>
      </c>
      <c r="AM34" s="3">
        <f>VLOOKUP(AL34,Table1[],2,FALSE)</f>
        <v>0</v>
      </c>
      <c r="AN34" s="3">
        <f>VLOOKUP(AL34,Table1[],3,FALSE)</f>
        <v>0</v>
      </c>
      <c r="AO34" s="3">
        <f>VLOOKUP($AL34,Table1[],4,FALSE)</f>
        <v>0</v>
      </c>
      <c r="AP34" s="3">
        <f>VLOOKUP($AL34,Table1[],5,FALSE)</f>
        <v>0</v>
      </c>
      <c r="AQ34" s="3">
        <f>VLOOKUP($AL34,Table1[],6,FALSE)</f>
        <v>0</v>
      </c>
      <c r="AR34" s="3">
        <f>VLOOKUP($AL34,Table1[],7,FALSE)</f>
        <v>0</v>
      </c>
      <c r="AS34" s="3">
        <f>VLOOKUP($AL34,Table1[],8,FALSE)</f>
        <v>0</v>
      </c>
    </row>
    <row r="35" spans="1:45" x14ac:dyDescent="0.35">
      <c r="A35" s="2" t="s">
        <v>110</v>
      </c>
      <c r="B35" s="3">
        <v>2700000</v>
      </c>
      <c r="C35" s="3">
        <v>0</v>
      </c>
      <c r="D35" s="3">
        <v>0</v>
      </c>
      <c r="E35" s="3">
        <v>0</v>
      </c>
      <c r="F35" s="3">
        <v>2700000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2700000</v>
      </c>
      <c r="M35" s="3">
        <v>0</v>
      </c>
      <c r="N35" s="3">
        <v>0</v>
      </c>
      <c r="O35" s="3">
        <v>0</v>
      </c>
      <c r="P35" s="3">
        <v>2700000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2700000</v>
      </c>
      <c r="AG35" s="3">
        <v>0</v>
      </c>
      <c r="AH35" s="3">
        <v>0</v>
      </c>
      <c r="AI35" s="3">
        <v>0</v>
      </c>
      <c r="AJ35" s="3">
        <v>2700000</v>
      </c>
      <c r="AK35" s="2" t="s">
        <v>111</v>
      </c>
      <c r="AL35" s="2" t="s">
        <v>112</v>
      </c>
      <c r="AM35" s="3">
        <f>VLOOKUP(AL35,Table1[],2,FALSE)</f>
        <v>2800000</v>
      </c>
      <c r="AN35" s="3">
        <f>VLOOKUP(AL35,Table1[],3,FALSE)</f>
        <v>2700000</v>
      </c>
      <c r="AO35" s="3">
        <f>VLOOKUP($AL35,Table1[],4,FALSE)</f>
        <v>0</v>
      </c>
      <c r="AP35" s="3">
        <f>VLOOKUP($AL35,Table1[],5,FALSE)</f>
        <v>100000</v>
      </c>
      <c r="AQ35" s="3">
        <f>VLOOKUP($AL35,Table1[],6,FALSE)</f>
        <v>0</v>
      </c>
      <c r="AR35" s="3">
        <f>VLOOKUP($AL35,Table1[],7,FALSE)</f>
        <v>0</v>
      </c>
      <c r="AS35" s="3">
        <f>VLOOKUP($AL35,Table1[],8,FALSE)</f>
        <v>2700000</v>
      </c>
    </row>
    <row r="36" spans="1:45" x14ac:dyDescent="0.35">
      <c r="A36" s="2" t="s">
        <v>113</v>
      </c>
      <c r="B36" s="3">
        <v>212961902.13999999</v>
      </c>
      <c r="C36" s="3">
        <v>115301350.17</v>
      </c>
      <c r="D36" s="3">
        <v>26790650.609999999</v>
      </c>
      <c r="E36" s="3">
        <v>142092000.78</v>
      </c>
      <c r="F36" s="3">
        <v>70869901.359999999</v>
      </c>
      <c r="G36" s="3">
        <v>54526120.5</v>
      </c>
      <c r="H36" s="3">
        <v>54526120.5</v>
      </c>
      <c r="I36" s="3">
        <v>0</v>
      </c>
      <c r="J36" s="3">
        <v>54526120.5</v>
      </c>
      <c r="K36" s="3">
        <v>0</v>
      </c>
      <c r="L36" s="3">
        <v>158435781.63999999</v>
      </c>
      <c r="M36" s="3">
        <v>60775229.670000002</v>
      </c>
      <c r="N36" s="3">
        <v>26790650.609999999</v>
      </c>
      <c r="O36" s="3">
        <v>87565880.280000001</v>
      </c>
      <c r="P36" s="3">
        <v>70869901.359999999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214561902.13999999</v>
      </c>
      <c r="AG36" s="3">
        <v>115301350.17</v>
      </c>
      <c r="AH36" s="3">
        <v>26790650.609999999</v>
      </c>
      <c r="AI36" s="3">
        <v>142092000.78</v>
      </c>
      <c r="AJ36" s="3">
        <v>72469901.359999999</v>
      </c>
      <c r="AK36" s="2" t="s">
        <v>114</v>
      </c>
      <c r="AL36" s="2" t="s">
        <v>115</v>
      </c>
      <c r="AM36" s="3">
        <f>VLOOKUP(AL36,Table1[],2,FALSE)</f>
        <v>194025092</v>
      </c>
      <c r="AN36" s="3">
        <f>VLOOKUP(AL36,Table1[],3,FALSE)</f>
        <v>194025092</v>
      </c>
      <c r="AO36" s="3">
        <f>VLOOKUP($AL36,Table1[],4,FALSE)</f>
        <v>0</v>
      </c>
      <c r="AP36" s="3">
        <f>VLOOKUP($AL36,Table1[],5,FALSE)</f>
        <v>0</v>
      </c>
      <c r="AQ36" s="3">
        <f>VLOOKUP($AL36,Table1[],6,FALSE)</f>
        <v>0</v>
      </c>
      <c r="AR36" s="3">
        <f>VLOOKUP($AL36,Table1[],7,FALSE)</f>
        <v>0</v>
      </c>
      <c r="AS36" s="3">
        <f>VLOOKUP($AL36,Table1[],8,FALSE)</f>
        <v>194025092</v>
      </c>
    </row>
    <row r="37" spans="1:45" x14ac:dyDescent="0.35">
      <c r="A37" s="2" t="s">
        <v>116</v>
      </c>
      <c r="B37" s="3">
        <v>262789970</v>
      </c>
      <c r="C37" s="3">
        <v>203617984.94999999</v>
      </c>
      <c r="D37" s="3">
        <v>8484193.6999999993</v>
      </c>
      <c r="E37" s="3">
        <v>212102178.65000001</v>
      </c>
      <c r="F37" s="3">
        <v>50687791.350000001</v>
      </c>
      <c r="G37" s="3">
        <v>101164735.59</v>
      </c>
      <c r="H37" s="3">
        <v>101164735.59</v>
      </c>
      <c r="I37" s="3">
        <v>0</v>
      </c>
      <c r="J37" s="3">
        <v>101164735.59</v>
      </c>
      <c r="K37" s="3">
        <v>0</v>
      </c>
      <c r="L37" s="3">
        <v>161625234.41</v>
      </c>
      <c r="M37" s="3">
        <v>102453249.36</v>
      </c>
      <c r="N37" s="3">
        <v>8484193.6999999993</v>
      </c>
      <c r="O37" s="3">
        <v>110937443.06</v>
      </c>
      <c r="P37" s="3">
        <v>50687791.350000001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262789970</v>
      </c>
      <c r="AG37" s="3">
        <v>203617984.94999999</v>
      </c>
      <c r="AH37" s="3">
        <v>8484193.6999999993</v>
      </c>
      <c r="AI37" s="3">
        <v>212102178.65000001</v>
      </c>
      <c r="AJ37" s="3">
        <v>50687791.350000001</v>
      </c>
      <c r="AK37" s="2" t="s">
        <v>117</v>
      </c>
      <c r="AL37" s="2" t="s">
        <v>118</v>
      </c>
      <c r="AM37" s="3">
        <f>VLOOKUP(AL37,Table1[],2,FALSE)</f>
        <v>0</v>
      </c>
      <c r="AN37" s="3">
        <f>VLOOKUP(AL37,Table1[],3,FALSE)</f>
        <v>0</v>
      </c>
      <c r="AO37" s="3">
        <f>VLOOKUP($AL37,Table1[],4,FALSE)</f>
        <v>0</v>
      </c>
      <c r="AP37" s="3">
        <f>VLOOKUP($AL37,Table1[],5,FALSE)</f>
        <v>0</v>
      </c>
      <c r="AQ37" s="3">
        <f>VLOOKUP($AL37,Table1[],6,FALSE)</f>
        <v>0</v>
      </c>
      <c r="AR37" s="3">
        <f>VLOOKUP($AL37,Table1[],7,FALSE)</f>
        <v>0</v>
      </c>
      <c r="AS37" s="3">
        <f>VLOOKUP($AL37,Table1[],8,FALSE)</f>
        <v>0</v>
      </c>
    </row>
    <row r="38" spans="1:45" x14ac:dyDescent="0.35">
      <c r="A38" s="2" t="s">
        <v>119</v>
      </c>
      <c r="B38" s="3">
        <v>544311577.58000004</v>
      </c>
      <c r="C38" s="3">
        <v>421099462.04000002</v>
      </c>
      <c r="D38" s="3">
        <v>14525503.84</v>
      </c>
      <c r="E38" s="3">
        <v>435624965.88</v>
      </c>
      <c r="F38" s="3">
        <v>108686611.7</v>
      </c>
      <c r="G38" s="3">
        <v>363126109.41000003</v>
      </c>
      <c r="H38" s="3">
        <v>363126109.41000003</v>
      </c>
      <c r="I38" s="3">
        <v>0</v>
      </c>
      <c r="J38" s="3">
        <v>363126109.41000003</v>
      </c>
      <c r="K38" s="3">
        <v>0</v>
      </c>
      <c r="L38" s="3">
        <v>181185468.16999999</v>
      </c>
      <c r="M38" s="3">
        <v>57973352.630000003</v>
      </c>
      <c r="N38" s="3">
        <v>6319686.8399999999</v>
      </c>
      <c r="O38" s="3">
        <v>64293039.469999999</v>
      </c>
      <c r="P38" s="3">
        <v>116892428.7</v>
      </c>
      <c r="Q38" s="3">
        <v>0</v>
      </c>
      <c r="R38" s="3">
        <v>0</v>
      </c>
      <c r="S38" s="3">
        <v>8205817</v>
      </c>
      <c r="T38" s="3">
        <v>8205817</v>
      </c>
      <c r="U38" s="3">
        <v>-8205817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545911586.58000004</v>
      </c>
      <c r="AG38" s="3">
        <v>421099462.04000002</v>
      </c>
      <c r="AH38" s="3">
        <v>14525503.84</v>
      </c>
      <c r="AI38" s="3">
        <v>435624965.88</v>
      </c>
      <c r="AJ38" s="3">
        <v>110286620.7</v>
      </c>
      <c r="AK38" s="2" t="s">
        <v>120</v>
      </c>
      <c r="AL38" s="2" t="s">
        <v>121</v>
      </c>
      <c r="AM38" s="3">
        <f>VLOOKUP(AL38,Table1[],2,FALSE)</f>
        <v>224881217</v>
      </c>
      <c r="AN38" s="3">
        <f>VLOOKUP(AL38,Table1[],3,FALSE)</f>
        <v>224881217</v>
      </c>
      <c r="AO38" s="3">
        <f>VLOOKUP($AL38,Table1[],4,FALSE)</f>
        <v>0</v>
      </c>
      <c r="AP38" s="3">
        <f>VLOOKUP($AL38,Table1[],5,FALSE)</f>
        <v>0</v>
      </c>
      <c r="AQ38" s="3">
        <f>VLOOKUP($AL38,Table1[],6,FALSE)</f>
        <v>0</v>
      </c>
      <c r="AR38" s="3">
        <f>VLOOKUP($AL38,Table1[],7,FALSE)</f>
        <v>0</v>
      </c>
      <c r="AS38" s="3">
        <f>VLOOKUP($AL38,Table1[],8,FALSE)</f>
        <v>224881217</v>
      </c>
    </row>
    <row r="39" spans="1:45" x14ac:dyDescent="0.35">
      <c r="A39" s="2" t="s">
        <v>122</v>
      </c>
      <c r="B39" s="3">
        <v>831745340.61000001</v>
      </c>
      <c r="C39" s="3">
        <v>413086947.45999998</v>
      </c>
      <c r="D39" s="3">
        <v>80282143.790000007</v>
      </c>
      <c r="E39" s="3">
        <v>493369091.25</v>
      </c>
      <c r="F39" s="3">
        <v>338376249.36000001</v>
      </c>
      <c r="G39" s="3">
        <v>107640455.89</v>
      </c>
      <c r="H39" s="3">
        <v>107640455.89</v>
      </c>
      <c r="I39" s="3">
        <v>0</v>
      </c>
      <c r="J39" s="3">
        <v>107640455.89</v>
      </c>
      <c r="K39" s="3">
        <v>0</v>
      </c>
      <c r="L39" s="3">
        <v>724104884.72000003</v>
      </c>
      <c r="M39" s="3">
        <v>305446491.56999999</v>
      </c>
      <c r="N39" s="3">
        <v>63870509.789999999</v>
      </c>
      <c r="O39" s="3">
        <v>369317001.36000001</v>
      </c>
      <c r="P39" s="3">
        <v>354787883.36000001</v>
      </c>
      <c r="Q39" s="3">
        <v>0</v>
      </c>
      <c r="R39" s="3">
        <v>0</v>
      </c>
      <c r="S39" s="3">
        <v>16411634</v>
      </c>
      <c r="T39" s="3">
        <v>16411634</v>
      </c>
      <c r="U39" s="3">
        <v>-16411634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831745340.61000001</v>
      </c>
      <c r="AG39" s="3">
        <v>413086947.45999998</v>
      </c>
      <c r="AH39" s="3">
        <v>80282143.790000007</v>
      </c>
      <c r="AI39" s="3">
        <v>493369091.25</v>
      </c>
      <c r="AJ39" s="3">
        <v>338376249.36000001</v>
      </c>
      <c r="AK39" s="2" t="s">
        <v>123</v>
      </c>
      <c r="AL39" s="2" t="s">
        <v>124</v>
      </c>
      <c r="AM39" s="3">
        <f>VLOOKUP(AL39,Table1[],2,FALSE)</f>
        <v>110366531</v>
      </c>
      <c r="AN39" s="3">
        <f>VLOOKUP(AL39,Table1[],3,FALSE)</f>
        <v>110366531</v>
      </c>
      <c r="AO39" s="3">
        <f>VLOOKUP($AL39,Table1[],4,FALSE)</f>
        <v>0</v>
      </c>
      <c r="AP39" s="3">
        <f>VLOOKUP($AL39,Table1[],5,FALSE)</f>
        <v>0</v>
      </c>
      <c r="AQ39" s="3">
        <f>VLOOKUP($AL39,Table1[],6,FALSE)</f>
        <v>0</v>
      </c>
      <c r="AR39" s="3">
        <f>VLOOKUP($AL39,Table1[],7,FALSE)</f>
        <v>0</v>
      </c>
      <c r="AS39" s="3">
        <f>VLOOKUP($AL39,Table1[],8,FALSE)</f>
        <v>88043881</v>
      </c>
    </row>
    <row r="40" spans="1:45" x14ac:dyDescent="0.35">
      <c r="A40" s="2" t="s">
        <v>125</v>
      </c>
      <c r="B40" s="3">
        <v>736630688.21000004</v>
      </c>
      <c r="C40" s="3">
        <v>137476955.09</v>
      </c>
      <c r="D40" s="3">
        <v>300460751.81</v>
      </c>
      <c r="E40" s="3">
        <v>437937706.89999998</v>
      </c>
      <c r="F40" s="3">
        <v>298692981.31</v>
      </c>
      <c r="G40" s="3">
        <v>32201694.82</v>
      </c>
      <c r="H40" s="3">
        <v>32201694.82</v>
      </c>
      <c r="I40" s="3">
        <v>979754</v>
      </c>
      <c r="J40" s="3">
        <v>33181448.82</v>
      </c>
      <c r="K40" s="3">
        <v>-979754</v>
      </c>
      <c r="L40" s="3">
        <v>704428993.38999999</v>
      </c>
      <c r="M40" s="3">
        <v>105275260.27</v>
      </c>
      <c r="N40" s="3">
        <v>157917993.16999999</v>
      </c>
      <c r="O40" s="3">
        <v>263193253.44</v>
      </c>
      <c r="P40" s="3">
        <v>441235739.94999999</v>
      </c>
      <c r="Q40" s="3">
        <v>0</v>
      </c>
      <c r="R40" s="3">
        <v>0</v>
      </c>
      <c r="S40" s="3">
        <v>141563004.63999999</v>
      </c>
      <c r="T40" s="3">
        <v>141563004.63999999</v>
      </c>
      <c r="U40" s="3">
        <v>-141563004.63999999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736630688.21000004</v>
      </c>
      <c r="AG40" s="3">
        <v>137476955.09</v>
      </c>
      <c r="AH40" s="3">
        <v>300460751.81</v>
      </c>
      <c r="AI40" s="3">
        <v>437937706.89999998</v>
      </c>
      <c r="AJ40" s="3">
        <v>298692981.31</v>
      </c>
      <c r="AK40" s="2" t="s">
        <v>126</v>
      </c>
      <c r="AL40" s="2" t="s">
        <v>127</v>
      </c>
      <c r="AM40" s="3">
        <f>VLOOKUP(AL40,Table1[],2,FALSE)</f>
        <v>0</v>
      </c>
      <c r="AN40" s="3">
        <f>VLOOKUP(AL40,Table1[],3,FALSE)</f>
        <v>0</v>
      </c>
      <c r="AO40" s="3">
        <f>VLOOKUP($AL40,Table1[],4,FALSE)</f>
        <v>0</v>
      </c>
      <c r="AP40" s="3">
        <f>VLOOKUP($AL40,Table1[],5,FALSE)</f>
        <v>0</v>
      </c>
      <c r="AQ40" s="3">
        <f>VLOOKUP($AL40,Table1[],6,FALSE)</f>
        <v>0</v>
      </c>
      <c r="AR40" s="3">
        <f>VLOOKUP($AL40,Table1[],7,FALSE)</f>
        <v>0</v>
      </c>
      <c r="AS40" s="3">
        <f>VLOOKUP($AL40,Table1[],8,FALSE)</f>
        <v>0</v>
      </c>
    </row>
    <row r="41" spans="1:45" x14ac:dyDescent="0.35">
      <c r="A41" s="2" t="s">
        <v>128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2" t="s">
        <v>129</v>
      </c>
      <c r="AL41" s="2" t="s">
        <v>130</v>
      </c>
      <c r="AM41" s="3">
        <f>VLOOKUP(AL41,Table1[],2,FALSE)</f>
        <v>5400000</v>
      </c>
      <c r="AN41" s="3">
        <f>VLOOKUP(AL41,Table1[],3,FALSE)</f>
        <v>5400000</v>
      </c>
      <c r="AO41" s="3">
        <f>VLOOKUP($AL41,Table1[],4,FALSE)</f>
        <v>0</v>
      </c>
      <c r="AP41" s="3">
        <f>VLOOKUP($AL41,Table1[],5,FALSE)</f>
        <v>0</v>
      </c>
      <c r="AQ41" s="3">
        <f>VLOOKUP($AL41,Table1[],6,FALSE)</f>
        <v>0</v>
      </c>
      <c r="AR41" s="3">
        <f>VLOOKUP($AL41,Table1[],7,FALSE)</f>
        <v>0</v>
      </c>
      <c r="AS41" s="3">
        <f>VLOOKUP($AL41,Table1[],8,FALSE)</f>
        <v>5400000</v>
      </c>
    </row>
    <row r="42" spans="1:45" x14ac:dyDescent="0.35">
      <c r="A42" s="2" t="s">
        <v>131</v>
      </c>
      <c r="B42" s="3">
        <v>8766352.1199999992</v>
      </c>
      <c r="C42" s="3">
        <v>8766352.1199999992</v>
      </c>
      <c r="D42" s="3">
        <v>0</v>
      </c>
      <c r="E42" s="3">
        <v>8766352.1199999992</v>
      </c>
      <c r="F42" s="3">
        <v>0</v>
      </c>
      <c r="G42" s="3">
        <v>8766352.1199999992</v>
      </c>
      <c r="H42" s="3">
        <v>8766352.1199999992</v>
      </c>
      <c r="I42" s="3">
        <v>0</v>
      </c>
      <c r="J42" s="3">
        <v>8766352.1199999992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8766352.1199999992</v>
      </c>
      <c r="AG42" s="3">
        <v>8766352.1199999992</v>
      </c>
      <c r="AH42" s="3">
        <v>0</v>
      </c>
      <c r="AI42" s="3">
        <v>8766352.1199999992</v>
      </c>
      <c r="AJ42" s="3">
        <v>0</v>
      </c>
      <c r="AK42" s="2" t="s">
        <v>132</v>
      </c>
      <c r="AL42" s="2" t="s">
        <v>133</v>
      </c>
      <c r="AM42" s="3">
        <f>VLOOKUP(AL42,Table1[],2,FALSE)</f>
        <v>30000000</v>
      </c>
      <c r="AN42" s="3">
        <f>VLOOKUP(AL42,Table1[],3,FALSE)</f>
        <v>30000000</v>
      </c>
      <c r="AO42" s="3">
        <f>VLOOKUP($AL42,Table1[],4,FALSE)</f>
        <v>0</v>
      </c>
      <c r="AP42" s="3">
        <f>VLOOKUP($AL42,Table1[],5,FALSE)</f>
        <v>0</v>
      </c>
      <c r="AQ42" s="3">
        <f>VLOOKUP($AL42,Table1[],6,FALSE)</f>
        <v>0</v>
      </c>
      <c r="AR42" s="3">
        <f>VLOOKUP($AL42,Table1[],7,FALSE)</f>
        <v>0</v>
      </c>
      <c r="AS42" s="3">
        <f>VLOOKUP($AL42,Table1[],8,FALSE)</f>
        <v>30000000</v>
      </c>
    </row>
    <row r="43" spans="1:45" x14ac:dyDescent="0.35">
      <c r="A43" s="2" t="s">
        <v>134</v>
      </c>
      <c r="B43" s="3">
        <v>40000000</v>
      </c>
      <c r="C43" s="3">
        <v>0</v>
      </c>
      <c r="D43" s="3">
        <v>0</v>
      </c>
      <c r="E43" s="3">
        <v>0</v>
      </c>
      <c r="F43" s="3">
        <v>40000000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40000000</v>
      </c>
      <c r="M43" s="3">
        <v>0</v>
      </c>
      <c r="N43" s="3">
        <v>0</v>
      </c>
      <c r="O43" s="3">
        <v>0</v>
      </c>
      <c r="P43" s="3">
        <v>40000000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40000000</v>
      </c>
      <c r="AG43" s="3">
        <v>0</v>
      </c>
      <c r="AH43" s="3">
        <v>0</v>
      </c>
      <c r="AI43" s="3">
        <v>0</v>
      </c>
      <c r="AJ43" s="3">
        <v>40000000</v>
      </c>
      <c r="AK43" s="2" t="s">
        <v>135</v>
      </c>
      <c r="AL43" s="2" t="s">
        <v>136</v>
      </c>
      <c r="AM43" s="3" t="e">
        <f>VLOOKUP(AL43,Table1[],2,FALSE)</f>
        <v>#N/A</v>
      </c>
      <c r="AN43" s="3" t="e">
        <f>VLOOKUP(AL43,Table1[],3,FALSE)</f>
        <v>#N/A</v>
      </c>
      <c r="AO43" s="3" t="e">
        <f>VLOOKUP($AL43,Table1[],4,FALSE)</f>
        <v>#N/A</v>
      </c>
      <c r="AP43" s="3" t="e">
        <f>VLOOKUP($AL43,Table1[],5,FALSE)</f>
        <v>#N/A</v>
      </c>
      <c r="AQ43" s="3" t="e">
        <f>VLOOKUP($AL43,Table1[],6,FALSE)</f>
        <v>#N/A</v>
      </c>
      <c r="AR43" s="3" t="e">
        <f>VLOOKUP($AL43,Table1[],7,FALSE)</f>
        <v>#N/A</v>
      </c>
      <c r="AS43" s="3" t="e">
        <f>VLOOKUP($AL43,Table1[],8,FALSE)</f>
        <v>#N/A</v>
      </c>
    </row>
    <row r="44" spans="1:45" x14ac:dyDescent="0.35">
      <c r="A44" s="2" t="s">
        <v>137</v>
      </c>
      <c r="B44" s="3">
        <v>724331326.64999998</v>
      </c>
      <c r="C44" s="3">
        <v>283402336.24000001</v>
      </c>
      <c r="D44" s="3">
        <v>280773819.80000001</v>
      </c>
      <c r="E44" s="3">
        <v>564176156.03999996</v>
      </c>
      <c r="F44" s="3">
        <v>160155170.61000001</v>
      </c>
      <c r="G44" s="3">
        <v>153880293.44999999</v>
      </c>
      <c r="H44" s="3">
        <v>153880293.44999999</v>
      </c>
      <c r="I44" s="3">
        <v>0</v>
      </c>
      <c r="J44" s="3">
        <v>153880293.44999999</v>
      </c>
      <c r="K44" s="3">
        <v>0</v>
      </c>
      <c r="L44" s="3">
        <v>570451033.20000005</v>
      </c>
      <c r="M44" s="3">
        <v>129522042.79000001</v>
      </c>
      <c r="N44" s="3">
        <v>241325347.96000001</v>
      </c>
      <c r="O44" s="3">
        <v>370847390.75</v>
      </c>
      <c r="P44" s="3">
        <v>199603642.44999999</v>
      </c>
      <c r="Q44" s="3">
        <v>0</v>
      </c>
      <c r="R44" s="3">
        <v>0</v>
      </c>
      <c r="S44" s="3">
        <v>39448471.840000004</v>
      </c>
      <c r="T44" s="3">
        <v>39448471.840000004</v>
      </c>
      <c r="U44" s="3">
        <v>-39448471.840000004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724331326.64999998</v>
      </c>
      <c r="AG44" s="3">
        <v>283402336.24000001</v>
      </c>
      <c r="AH44" s="3">
        <v>280773819.80000001</v>
      </c>
      <c r="AI44" s="3">
        <v>564176156.03999996</v>
      </c>
      <c r="AJ44" s="3">
        <v>160155170.61000001</v>
      </c>
      <c r="AK44" s="2" t="s">
        <v>138</v>
      </c>
      <c r="AL44" s="2" t="s">
        <v>139</v>
      </c>
      <c r="AM44" s="3">
        <f>VLOOKUP(AL44,Table1[],2,FALSE)</f>
        <v>0</v>
      </c>
      <c r="AN44" s="3">
        <f>VLOOKUP(AL44,Table1[],3,FALSE)</f>
        <v>0</v>
      </c>
      <c r="AO44" s="3">
        <f>VLOOKUP($AL44,Table1[],4,FALSE)</f>
        <v>0</v>
      </c>
      <c r="AP44" s="3">
        <f>VLOOKUP($AL44,Table1[],5,FALSE)</f>
        <v>0</v>
      </c>
      <c r="AQ44" s="3">
        <f>VLOOKUP($AL44,Table1[],6,FALSE)</f>
        <v>0</v>
      </c>
      <c r="AR44" s="3">
        <f>VLOOKUP($AL44,Table1[],7,FALSE)</f>
        <v>0</v>
      </c>
      <c r="AS44" s="3">
        <f>VLOOKUP($AL44,Table1[],8,FALSE)</f>
        <v>0</v>
      </c>
    </row>
    <row r="45" spans="1:45" x14ac:dyDescent="0.35">
      <c r="A45" s="2" t="s">
        <v>140</v>
      </c>
      <c r="B45" s="3">
        <v>1068135592.4299999</v>
      </c>
      <c r="C45" s="3">
        <v>415436750.52999997</v>
      </c>
      <c r="D45" s="3">
        <v>486926187.50999999</v>
      </c>
      <c r="E45" s="3">
        <v>902362938.03999996</v>
      </c>
      <c r="F45" s="3">
        <v>165772654.38999999</v>
      </c>
      <c r="G45" s="3">
        <v>24415486.440000001</v>
      </c>
      <c r="H45" s="3">
        <v>22957870.829999998</v>
      </c>
      <c r="I45" s="3">
        <v>5091198.7</v>
      </c>
      <c r="J45" s="3">
        <v>28049069.530000001</v>
      </c>
      <c r="K45" s="3">
        <v>-3633583.09</v>
      </c>
      <c r="L45" s="3">
        <v>1043720105.99</v>
      </c>
      <c r="M45" s="3">
        <v>392478879.69999999</v>
      </c>
      <c r="N45" s="3">
        <v>419258412.55000001</v>
      </c>
      <c r="O45" s="3">
        <v>811737292.25</v>
      </c>
      <c r="P45" s="3">
        <v>231982813.74000001</v>
      </c>
      <c r="Q45" s="3">
        <v>0</v>
      </c>
      <c r="R45" s="3">
        <v>0</v>
      </c>
      <c r="S45" s="3">
        <v>62576576.259999998</v>
      </c>
      <c r="T45" s="3">
        <v>62576576.259999998</v>
      </c>
      <c r="U45" s="3">
        <v>-62576576.259999998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1068135592.4299999</v>
      </c>
      <c r="AG45" s="3">
        <v>415436750.52999997</v>
      </c>
      <c r="AH45" s="3">
        <v>486926187.50999999</v>
      </c>
      <c r="AI45" s="3">
        <v>902362938.03999996</v>
      </c>
      <c r="AJ45" s="3">
        <v>165772654.38999999</v>
      </c>
      <c r="AK45" s="2" t="s">
        <v>141</v>
      </c>
      <c r="AL45" s="2" t="s">
        <v>142</v>
      </c>
      <c r="AM45" s="3" t="e">
        <f>VLOOKUP(AL45,Table1[],2,FALSE)</f>
        <v>#N/A</v>
      </c>
      <c r="AN45" s="3" t="e">
        <f>VLOOKUP(AL45,Table1[],3,FALSE)</f>
        <v>#N/A</v>
      </c>
      <c r="AO45" s="3" t="e">
        <f>VLOOKUP($AL45,Table1[],4,FALSE)</f>
        <v>#N/A</v>
      </c>
      <c r="AP45" s="3" t="e">
        <f>VLOOKUP($AL45,Table1[],5,FALSE)</f>
        <v>#N/A</v>
      </c>
      <c r="AQ45" s="3" t="e">
        <f>VLOOKUP($AL45,Table1[],6,FALSE)</f>
        <v>#N/A</v>
      </c>
      <c r="AR45" s="3" t="e">
        <f>VLOOKUP($AL45,Table1[],7,FALSE)</f>
        <v>#N/A</v>
      </c>
      <c r="AS45" s="3" t="e">
        <f>VLOOKUP($AL45,Table1[],8,FALSE)</f>
        <v>#N/A</v>
      </c>
    </row>
    <row r="46" spans="1:45" x14ac:dyDescent="0.35">
      <c r="A46" s="2" t="s">
        <v>143</v>
      </c>
      <c r="B46" s="3">
        <v>324078232.16000003</v>
      </c>
      <c r="C46" s="3">
        <v>201961568.53</v>
      </c>
      <c r="D46" s="3">
        <v>14700306.17</v>
      </c>
      <c r="E46" s="3">
        <v>216661874.69999999</v>
      </c>
      <c r="F46" s="3">
        <v>107416357.45999999</v>
      </c>
      <c r="G46" s="3">
        <v>324078232.16000003</v>
      </c>
      <c r="H46" s="3">
        <v>194891208.09</v>
      </c>
      <c r="I46" s="3">
        <v>14700306.17</v>
      </c>
      <c r="J46" s="3">
        <v>209591514.25999999</v>
      </c>
      <c r="K46" s="3">
        <v>114486717.90000001</v>
      </c>
      <c r="L46" s="3">
        <v>0</v>
      </c>
      <c r="M46" s="3">
        <v>7070360.4400000004</v>
      </c>
      <c r="N46" s="3">
        <v>0</v>
      </c>
      <c r="O46" s="3">
        <v>7070360.4400000004</v>
      </c>
      <c r="P46" s="3">
        <v>-7070360.4400000004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370898588.67000002</v>
      </c>
      <c r="AG46" s="3">
        <v>201961568.53</v>
      </c>
      <c r="AH46" s="3">
        <v>14700306.17</v>
      </c>
      <c r="AI46" s="3">
        <v>216661874.69999999</v>
      </c>
      <c r="AJ46" s="3">
        <v>154236713.97</v>
      </c>
      <c r="AK46" s="2" t="s">
        <v>144</v>
      </c>
      <c r="AL46" s="2" t="s">
        <v>145</v>
      </c>
      <c r="AM46" s="3">
        <f>VLOOKUP(AL46,Table1[],2,FALSE)</f>
        <v>468116057</v>
      </c>
      <c r="AN46" s="3">
        <f>VLOOKUP(AL46,Table1[],3,FALSE)</f>
        <v>468116057</v>
      </c>
      <c r="AO46" s="3">
        <f>VLOOKUP($AL46,Table1[],4,FALSE)</f>
        <v>0</v>
      </c>
      <c r="AP46" s="3">
        <f>VLOOKUP($AL46,Table1[],5,FALSE)</f>
        <v>0</v>
      </c>
      <c r="AQ46" s="3">
        <f>VLOOKUP($AL46,Table1[],6,FALSE)</f>
        <v>0</v>
      </c>
      <c r="AR46" s="3">
        <f>VLOOKUP($AL46,Table1[],7,FALSE)</f>
        <v>0</v>
      </c>
      <c r="AS46" s="3">
        <f>VLOOKUP($AL46,Table1[],8,FALSE)</f>
        <v>469980138</v>
      </c>
    </row>
    <row r="47" spans="1:45" x14ac:dyDescent="0.35">
      <c r="A47" s="2" t="s">
        <v>146</v>
      </c>
      <c r="B47" s="3">
        <v>1767875.53</v>
      </c>
      <c r="C47" s="3">
        <v>1713150.02</v>
      </c>
      <c r="D47" s="3">
        <v>53421</v>
      </c>
      <c r="E47" s="3">
        <v>1766571.02</v>
      </c>
      <c r="F47" s="3">
        <v>1304.51</v>
      </c>
      <c r="G47" s="3">
        <v>1767875.53</v>
      </c>
      <c r="H47" s="3">
        <v>1713150.02</v>
      </c>
      <c r="I47" s="3">
        <v>53421</v>
      </c>
      <c r="J47" s="3">
        <v>1766571.02</v>
      </c>
      <c r="K47" s="3">
        <v>1304.51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1767875.53</v>
      </c>
      <c r="AG47" s="3">
        <v>1713150.02</v>
      </c>
      <c r="AH47" s="3">
        <v>53421</v>
      </c>
      <c r="AI47" s="3">
        <v>1766571.02</v>
      </c>
      <c r="AJ47" s="3">
        <v>1304.51</v>
      </c>
      <c r="AK47" s="2" t="s">
        <v>147</v>
      </c>
      <c r="AL47" s="2" t="s">
        <v>148</v>
      </c>
      <c r="AM47" s="3">
        <f>VLOOKUP(AL47,Table1[],2,FALSE)</f>
        <v>21000000</v>
      </c>
      <c r="AN47" s="3">
        <f>VLOOKUP(AL47,Table1[],3,FALSE)</f>
        <v>21000000</v>
      </c>
      <c r="AO47" s="3">
        <f>VLOOKUP($AL47,Table1[],4,FALSE)</f>
        <v>0</v>
      </c>
      <c r="AP47" s="3">
        <f>VLOOKUP($AL47,Table1[],5,FALSE)</f>
        <v>0</v>
      </c>
      <c r="AQ47" s="3">
        <f>VLOOKUP($AL47,Table1[],6,FALSE)</f>
        <v>0</v>
      </c>
      <c r="AR47" s="3">
        <f>VLOOKUP($AL47,Table1[],7,FALSE)</f>
        <v>0</v>
      </c>
      <c r="AS47" s="3">
        <f>VLOOKUP($AL47,Table1[],8,FALSE)</f>
        <v>21000000</v>
      </c>
    </row>
    <row r="48" spans="1:45" x14ac:dyDescent="0.35">
      <c r="A48" s="2" t="s">
        <v>149</v>
      </c>
      <c r="B48" s="3">
        <v>19625820.370000001</v>
      </c>
      <c r="C48" s="3">
        <v>1911304.97</v>
      </c>
      <c r="D48" s="3">
        <v>4877892</v>
      </c>
      <c r="E48" s="3">
        <v>6789196.9699999997</v>
      </c>
      <c r="F48" s="3">
        <v>12836623.4</v>
      </c>
      <c r="G48" s="3">
        <v>1911304.95</v>
      </c>
      <c r="H48" s="3">
        <v>1911304.97</v>
      </c>
      <c r="I48" s="3">
        <v>0</v>
      </c>
      <c r="J48" s="3">
        <v>1911304.97</v>
      </c>
      <c r="K48" s="3">
        <v>-0.02</v>
      </c>
      <c r="L48" s="3">
        <v>17714515.420000002</v>
      </c>
      <c r="M48" s="3">
        <v>0</v>
      </c>
      <c r="N48" s="3">
        <v>4877892</v>
      </c>
      <c r="O48" s="3">
        <v>4877892</v>
      </c>
      <c r="P48" s="3">
        <v>12836623.42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19625820.370000001</v>
      </c>
      <c r="AG48" s="3">
        <v>1911304.97</v>
      </c>
      <c r="AH48" s="3">
        <v>4877892</v>
      </c>
      <c r="AI48" s="3">
        <v>6789196.9699999997</v>
      </c>
      <c r="AJ48" s="3">
        <v>12836623.4</v>
      </c>
      <c r="AK48" s="2" t="s">
        <v>150</v>
      </c>
      <c r="AL48" s="2" t="s">
        <v>151</v>
      </c>
      <c r="AM48" s="3">
        <f>VLOOKUP(AL48,Table1[],2,FALSE)</f>
        <v>19113000</v>
      </c>
      <c r="AN48" s="3">
        <f>VLOOKUP(AL48,Table1[],3,FALSE)</f>
        <v>5713000</v>
      </c>
      <c r="AO48" s="3">
        <f>VLOOKUP($AL48,Table1[],4,FALSE)</f>
        <v>13400000</v>
      </c>
      <c r="AP48" s="3">
        <f>VLOOKUP($AL48,Table1[],5,FALSE)</f>
        <v>0</v>
      </c>
      <c r="AQ48" s="3">
        <f>VLOOKUP($AL48,Table1[],6,FALSE)</f>
        <v>0</v>
      </c>
      <c r="AR48" s="3">
        <f>VLOOKUP($AL48,Table1[],7,FALSE)</f>
        <v>0</v>
      </c>
      <c r="AS48" s="3">
        <f>VLOOKUP($AL48,Table1[],8,FALSE)</f>
        <v>19113000</v>
      </c>
    </row>
    <row r="49" spans="1:45" x14ac:dyDescent="0.35">
      <c r="A49" s="2" t="s">
        <v>152</v>
      </c>
      <c r="B49" s="3">
        <v>174000000</v>
      </c>
      <c r="C49" s="3">
        <v>81631037.430000007</v>
      </c>
      <c r="D49" s="3">
        <v>71403571.689999998</v>
      </c>
      <c r="E49" s="3">
        <v>153034609.12</v>
      </c>
      <c r="F49" s="3">
        <v>20965390.879999999</v>
      </c>
      <c r="G49" s="3">
        <v>42718324.310000002</v>
      </c>
      <c r="H49" s="3">
        <v>43503690.719999999</v>
      </c>
      <c r="I49" s="3">
        <v>0</v>
      </c>
      <c r="J49" s="3">
        <v>43503690.719999999</v>
      </c>
      <c r="K49" s="3">
        <v>-785366.41</v>
      </c>
      <c r="L49" s="3">
        <v>131281675.69</v>
      </c>
      <c r="M49" s="3">
        <v>38127346.710000001</v>
      </c>
      <c r="N49" s="3">
        <v>71403571.689999998</v>
      </c>
      <c r="O49" s="3">
        <v>109530918.40000001</v>
      </c>
      <c r="P49" s="3">
        <v>21750757.289999999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174000000</v>
      </c>
      <c r="AG49" s="3">
        <v>81631037.430000007</v>
      </c>
      <c r="AH49" s="3">
        <v>71403571.689999998</v>
      </c>
      <c r="AI49" s="3">
        <v>153034609.12</v>
      </c>
      <c r="AJ49" s="3">
        <v>20965390.879999999</v>
      </c>
      <c r="AK49" s="2" t="s">
        <v>153</v>
      </c>
      <c r="AL49" s="2" t="s">
        <v>154</v>
      </c>
      <c r="AM49" s="3">
        <f>VLOOKUP(AL49,Table1[],2,FALSE)</f>
        <v>758067125</v>
      </c>
      <c r="AN49" s="3">
        <f>VLOOKUP(AL49,Table1[],3,FALSE)</f>
        <v>497067125</v>
      </c>
      <c r="AO49" s="3">
        <f>VLOOKUP($AL49,Table1[],4,FALSE)</f>
        <v>261000000</v>
      </c>
      <c r="AP49" s="3">
        <f>VLOOKUP($AL49,Table1[],5,FALSE)</f>
        <v>0</v>
      </c>
      <c r="AQ49" s="3">
        <f>VLOOKUP($AL49,Table1[],6,FALSE)</f>
        <v>0</v>
      </c>
      <c r="AR49" s="3">
        <f>VLOOKUP($AL49,Table1[],7,FALSE)</f>
        <v>0</v>
      </c>
      <c r="AS49" s="3">
        <f>VLOOKUP($AL49,Table1[],8,FALSE)</f>
        <v>758068010</v>
      </c>
    </row>
    <row r="50" spans="1:45" x14ac:dyDescent="0.35">
      <c r="A50" s="2" t="s">
        <v>155</v>
      </c>
      <c r="B50" s="3">
        <v>9694171.6600000001</v>
      </c>
      <c r="C50" s="3">
        <v>8014162.7199999997</v>
      </c>
      <c r="D50" s="3">
        <v>494418</v>
      </c>
      <c r="E50" s="3">
        <v>8508580.7200000007</v>
      </c>
      <c r="F50" s="3">
        <v>1185590.94</v>
      </c>
      <c r="G50" s="3">
        <v>919299.96</v>
      </c>
      <c r="H50" s="3">
        <v>919299.96</v>
      </c>
      <c r="I50" s="3">
        <v>0</v>
      </c>
      <c r="J50" s="3">
        <v>919299.96</v>
      </c>
      <c r="K50" s="3">
        <v>0</v>
      </c>
      <c r="L50" s="3">
        <v>8774871.6999999993</v>
      </c>
      <c r="M50" s="3">
        <v>7094862.7599999998</v>
      </c>
      <c r="N50" s="3">
        <v>494418</v>
      </c>
      <c r="O50" s="3">
        <v>7589280.7599999998</v>
      </c>
      <c r="P50" s="3">
        <v>1185590.94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9694171.6600000001</v>
      </c>
      <c r="AG50" s="3">
        <v>8014162.7199999997</v>
      </c>
      <c r="AH50" s="3">
        <v>494418</v>
      </c>
      <c r="AI50" s="3">
        <v>8508580.7200000007</v>
      </c>
      <c r="AJ50" s="3">
        <v>1185590.94</v>
      </c>
      <c r="AK50" s="2" t="s">
        <v>156</v>
      </c>
      <c r="AL50" s="2" t="s">
        <v>157</v>
      </c>
      <c r="AM50" s="3">
        <f>VLOOKUP(AL50,Table1[],2,FALSE)</f>
        <v>8645100</v>
      </c>
      <c r="AN50" s="3">
        <f>VLOOKUP(AL50,Table1[],3,FALSE)</f>
        <v>2285000</v>
      </c>
      <c r="AO50" s="3">
        <f>VLOOKUP($AL50,Table1[],4,FALSE)</f>
        <v>6360100</v>
      </c>
      <c r="AP50" s="3">
        <f>VLOOKUP($AL50,Table1[],5,FALSE)</f>
        <v>0</v>
      </c>
      <c r="AQ50" s="3">
        <f>VLOOKUP($AL50,Table1[],6,FALSE)</f>
        <v>0</v>
      </c>
      <c r="AR50" s="3">
        <f>VLOOKUP($AL50,Table1[],7,FALSE)</f>
        <v>0</v>
      </c>
      <c r="AS50" s="3">
        <f>VLOOKUP($AL50,Table1[],8,FALSE)</f>
        <v>8645100</v>
      </c>
    </row>
    <row r="51" spans="1:45" x14ac:dyDescent="0.35">
      <c r="A51" s="2" t="s">
        <v>158</v>
      </c>
      <c r="B51" s="3">
        <v>46221858.049999997</v>
      </c>
      <c r="C51" s="3">
        <v>7647671.2599999998</v>
      </c>
      <c r="D51" s="3">
        <v>3639627.06</v>
      </c>
      <c r="E51" s="3">
        <v>11287298.32</v>
      </c>
      <c r="F51" s="3">
        <v>34934559.729999997</v>
      </c>
      <c r="G51" s="3">
        <v>6050035.1100000003</v>
      </c>
      <c r="H51" s="3">
        <v>6050035.1100000003</v>
      </c>
      <c r="I51" s="3">
        <v>0</v>
      </c>
      <c r="J51" s="3">
        <v>6050035.1100000003</v>
      </c>
      <c r="K51" s="3">
        <v>0</v>
      </c>
      <c r="L51" s="3">
        <v>40171822.939999998</v>
      </c>
      <c r="M51" s="3">
        <v>1597636.15</v>
      </c>
      <c r="N51" s="3">
        <v>3639627.06</v>
      </c>
      <c r="O51" s="3">
        <v>5237263.21</v>
      </c>
      <c r="P51" s="3">
        <v>34934559.729999997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46221858.049999997</v>
      </c>
      <c r="AG51" s="3">
        <v>7647671.2599999998</v>
      </c>
      <c r="AH51" s="3">
        <v>3639627.06</v>
      </c>
      <c r="AI51" s="3">
        <v>11287298.32</v>
      </c>
      <c r="AJ51" s="3">
        <v>34934559.729999997</v>
      </c>
      <c r="AK51" s="2" t="s">
        <v>159</v>
      </c>
      <c r="AL51" s="2" t="s">
        <v>160</v>
      </c>
      <c r="AM51" s="3">
        <f>VLOOKUP(AL51,Table1[],2,FALSE)</f>
        <v>66800000</v>
      </c>
      <c r="AN51" s="3">
        <f>VLOOKUP(AL51,Table1[],3,FALSE)</f>
        <v>66800000</v>
      </c>
      <c r="AO51" s="3">
        <f>VLOOKUP($AL51,Table1[],4,FALSE)</f>
        <v>0</v>
      </c>
      <c r="AP51" s="3">
        <f>VLOOKUP($AL51,Table1[],5,FALSE)</f>
        <v>0</v>
      </c>
      <c r="AQ51" s="3">
        <f>VLOOKUP($AL51,Table1[],6,FALSE)</f>
        <v>0</v>
      </c>
      <c r="AR51" s="3">
        <f>VLOOKUP($AL51,Table1[],7,FALSE)</f>
        <v>0</v>
      </c>
      <c r="AS51" s="3">
        <f>VLOOKUP($AL51,Table1[],8,FALSE)</f>
        <v>66800000</v>
      </c>
    </row>
    <row r="52" spans="1:45" x14ac:dyDescent="0.35">
      <c r="A52" s="2" t="s">
        <v>161</v>
      </c>
      <c r="B52" s="3">
        <v>46883809</v>
      </c>
      <c r="C52" s="3">
        <v>408509.99</v>
      </c>
      <c r="D52" s="3">
        <v>27590244.879999999</v>
      </c>
      <c r="E52" s="3">
        <v>27998754.870000001</v>
      </c>
      <c r="F52" s="3">
        <v>18885054.129999999</v>
      </c>
      <c r="G52" s="3">
        <v>0</v>
      </c>
      <c r="H52" s="3">
        <v>-0.01</v>
      </c>
      <c r="I52" s="3">
        <v>0</v>
      </c>
      <c r="J52" s="3">
        <v>-0.01</v>
      </c>
      <c r="K52" s="3">
        <v>0.01</v>
      </c>
      <c r="L52" s="3">
        <v>46883809</v>
      </c>
      <c r="M52" s="3">
        <v>408510</v>
      </c>
      <c r="N52" s="3">
        <v>27590244.879999999</v>
      </c>
      <c r="O52" s="3">
        <v>27998754.879999999</v>
      </c>
      <c r="P52" s="3">
        <v>18885054.120000001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46883809</v>
      </c>
      <c r="AG52" s="3">
        <v>408509.99</v>
      </c>
      <c r="AH52" s="3">
        <v>27590244.879999999</v>
      </c>
      <c r="AI52" s="3">
        <v>27998754.870000001</v>
      </c>
      <c r="AJ52" s="3">
        <v>18885054.129999999</v>
      </c>
      <c r="AK52" s="2" t="s">
        <v>162</v>
      </c>
      <c r="AL52" s="2" t="s">
        <v>163</v>
      </c>
      <c r="AM52" s="3">
        <f>VLOOKUP(AL52,Table1[],2,FALSE)</f>
        <v>20400000</v>
      </c>
      <c r="AN52" s="3">
        <f>VLOOKUP(AL52,Table1[],3,FALSE)</f>
        <v>1500000</v>
      </c>
      <c r="AO52" s="3">
        <f>VLOOKUP($AL52,Table1[],4,FALSE)</f>
        <v>18900000</v>
      </c>
      <c r="AP52" s="3">
        <f>VLOOKUP($AL52,Table1[],5,FALSE)</f>
        <v>0</v>
      </c>
      <c r="AQ52" s="3">
        <f>VLOOKUP($AL52,Table1[],6,FALSE)</f>
        <v>0</v>
      </c>
      <c r="AR52" s="3">
        <f>VLOOKUP($AL52,Table1[],7,FALSE)</f>
        <v>0</v>
      </c>
      <c r="AS52" s="3">
        <f>VLOOKUP($AL52,Table1[],8,FALSE)</f>
        <v>20450000</v>
      </c>
    </row>
    <row r="53" spans="1:45" x14ac:dyDescent="0.35">
      <c r="A53" s="2" t="s">
        <v>164</v>
      </c>
      <c r="B53" s="3">
        <v>18997189.940000001</v>
      </c>
      <c r="C53" s="3">
        <v>98100.04</v>
      </c>
      <c r="D53" s="3">
        <v>5740190.2000000002</v>
      </c>
      <c r="E53" s="3">
        <v>5838290.2400000002</v>
      </c>
      <c r="F53" s="3">
        <v>13158899.699999999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18997189.940000001</v>
      </c>
      <c r="M53" s="3">
        <v>98100.04</v>
      </c>
      <c r="N53" s="3">
        <v>5740190.2000000002</v>
      </c>
      <c r="O53" s="3">
        <v>5838290.2400000002</v>
      </c>
      <c r="P53" s="3">
        <v>13158899.699999999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18997189.940000001</v>
      </c>
      <c r="AG53" s="3">
        <v>98100.04</v>
      </c>
      <c r="AH53" s="3">
        <v>5740190.2000000002</v>
      </c>
      <c r="AI53" s="3">
        <v>5838290.2400000002</v>
      </c>
      <c r="AJ53" s="3">
        <v>13158899.699999999</v>
      </c>
      <c r="AK53" s="2" t="s">
        <v>165</v>
      </c>
      <c r="AL53" s="2" t="s">
        <v>166</v>
      </c>
      <c r="AM53" s="3">
        <f>VLOOKUP(AL53,Table1[],2,FALSE)</f>
        <v>14500000</v>
      </c>
      <c r="AN53" s="3">
        <f>VLOOKUP(AL53,Table1[],3,FALSE)</f>
        <v>0</v>
      </c>
      <c r="AO53" s="3">
        <f>VLOOKUP($AL53,Table1[],4,FALSE)</f>
        <v>14500000</v>
      </c>
      <c r="AP53" s="3">
        <f>VLOOKUP($AL53,Table1[],5,FALSE)</f>
        <v>0</v>
      </c>
      <c r="AQ53" s="3">
        <f>VLOOKUP($AL53,Table1[],6,FALSE)</f>
        <v>0</v>
      </c>
      <c r="AR53" s="3">
        <f>VLOOKUP($AL53,Table1[],7,FALSE)</f>
        <v>0</v>
      </c>
      <c r="AS53" s="3">
        <f>VLOOKUP($AL53,Table1[],8,FALSE)</f>
        <v>14500000</v>
      </c>
    </row>
    <row r="54" spans="1:45" x14ac:dyDescent="0.35">
      <c r="A54" s="2" t="s">
        <v>167</v>
      </c>
      <c r="B54" s="3">
        <v>76083064.480000004</v>
      </c>
      <c r="C54" s="3">
        <v>45461741.649999999</v>
      </c>
      <c r="D54" s="3">
        <v>3944694.08</v>
      </c>
      <c r="E54" s="3">
        <v>49406435.729999997</v>
      </c>
      <c r="F54" s="3">
        <v>26676628.75</v>
      </c>
      <c r="G54" s="3">
        <v>37135315.18</v>
      </c>
      <c r="H54" s="3">
        <v>37135315.18</v>
      </c>
      <c r="I54" s="3">
        <v>1430620.86</v>
      </c>
      <c r="J54" s="3">
        <v>38565936.039999999</v>
      </c>
      <c r="K54" s="3">
        <v>-1430620.86</v>
      </c>
      <c r="L54" s="3">
        <v>38947749.299999997</v>
      </c>
      <c r="M54" s="3">
        <v>8326426.4699999997</v>
      </c>
      <c r="N54" s="3">
        <v>2514073.2200000002</v>
      </c>
      <c r="O54" s="3">
        <v>10840499.689999999</v>
      </c>
      <c r="P54" s="3">
        <v>28107249.609999999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76083064.480000004</v>
      </c>
      <c r="AG54" s="3">
        <v>45461741.649999999</v>
      </c>
      <c r="AH54" s="3">
        <v>3944694.08</v>
      </c>
      <c r="AI54" s="3">
        <v>49406435.729999997</v>
      </c>
      <c r="AJ54" s="3">
        <v>26676628.75</v>
      </c>
      <c r="AK54" s="2" t="s">
        <v>168</v>
      </c>
      <c r="AL54" s="2" t="s">
        <v>169</v>
      </c>
      <c r="AM54" s="3">
        <f>VLOOKUP(AL54,Table1[],2,FALSE)</f>
        <v>62955000</v>
      </c>
      <c r="AN54" s="3">
        <f>VLOOKUP(AL54,Table1[],3,FALSE)</f>
        <v>62955000</v>
      </c>
      <c r="AO54" s="3">
        <f>VLOOKUP($AL54,Table1[],4,FALSE)</f>
        <v>0</v>
      </c>
      <c r="AP54" s="3">
        <f>VLOOKUP($AL54,Table1[],5,FALSE)</f>
        <v>0</v>
      </c>
      <c r="AQ54" s="3">
        <f>VLOOKUP($AL54,Table1[],6,FALSE)</f>
        <v>0</v>
      </c>
      <c r="AR54" s="3">
        <f>VLOOKUP($AL54,Table1[],7,FALSE)</f>
        <v>0</v>
      </c>
      <c r="AS54" s="3">
        <f>VLOOKUP($AL54,Table1[],8,FALSE)</f>
        <v>62955000</v>
      </c>
    </row>
    <row r="55" spans="1:45" x14ac:dyDescent="0.35">
      <c r="A55" s="2" t="s">
        <v>170</v>
      </c>
      <c r="B55" s="3">
        <v>3750000</v>
      </c>
      <c r="C55" s="3">
        <v>1662032.15</v>
      </c>
      <c r="D55" s="3">
        <v>0</v>
      </c>
      <c r="E55" s="3">
        <v>1662032.15</v>
      </c>
      <c r="F55" s="3">
        <v>2087967.85</v>
      </c>
      <c r="G55" s="3">
        <v>1339622.1499999999</v>
      </c>
      <c r="H55" s="3">
        <v>1339622.1499999999</v>
      </c>
      <c r="I55" s="3">
        <v>0</v>
      </c>
      <c r="J55" s="3">
        <v>1339622.1499999999</v>
      </c>
      <c r="K55" s="3">
        <v>0</v>
      </c>
      <c r="L55" s="3">
        <v>2410377.85</v>
      </c>
      <c r="M55" s="3">
        <v>322410</v>
      </c>
      <c r="N55" s="3">
        <v>0</v>
      </c>
      <c r="O55" s="3">
        <v>322410</v>
      </c>
      <c r="P55" s="3">
        <v>2087967.85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3750000</v>
      </c>
      <c r="AG55" s="3">
        <v>1662032.15</v>
      </c>
      <c r="AH55" s="3">
        <v>0</v>
      </c>
      <c r="AI55" s="3">
        <v>1662032.15</v>
      </c>
      <c r="AJ55" s="3">
        <v>2087967.85</v>
      </c>
      <c r="AK55" s="2" t="s">
        <v>171</v>
      </c>
      <c r="AL55" s="2" t="s">
        <v>172</v>
      </c>
      <c r="AM55" s="3">
        <f>VLOOKUP(AL55,Table1[],2,FALSE)</f>
        <v>1353800</v>
      </c>
      <c r="AN55" s="3">
        <f>VLOOKUP(AL55,Table1[],3,FALSE)</f>
        <v>1353800</v>
      </c>
      <c r="AO55" s="3">
        <f>VLOOKUP($AL55,Table1[],4,FALSE)</f>
        <v>0</v>
      </c>
      <c r="AP55" s="3">
        <f>VLOOKUP($AL55,Table1[],5,FALSE)</f>
        <v>0</v>
      </c>
      <c r="AQ55" s="3">
        <f>VLOOKUP($AL55,Table1[],6,FALSE)</f>
        <v>0</v>
      </c>
      <c r="AR55" s="3">
        <f>VLOOKUP($AL55,Table1[],7,FALSE)</f>
        <v>0</v>
      </c>
      <c r="AS55" s="3">
        <f>VLOOKUP($AL55,Table1[],8,FALSE)</f>
        <v>1353800</v>
      </c>
    </row>
    <row r="56" spans="1:45" x14ac:dyDescent="0.35">
      <c r="A56" s="2" t="s">
        <v>173</v>
      </c>
      <c r="B56" s="3">
        <v>700000</v>
      </c>
      <c r="C56" s="3">
        <v>430764.01</v>
      </c>
      <c r="D56" s="3">
        <v>0</v>
      </c>
      <c r="E56" s="3">
        <v>430764.01</v>
      </c>
      <c r="F56" s="3">
        <v>269235.99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700000</v>
      </c>
      <c r="M56" s="3">
        <v>430764.01</v>
      </c>
      <c r="N56" s="3">
        <v>0</v>
      </c>
      <c r="O56" s="3">
        <v>430764.01</v>
      </c>
      <c r="P56" s="3">
        <v>269235.99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700000</v>
      </c>
      <c r="AG56" s="3">
        <v>430764.01</v>
      </c>
      <c r="AH56" s="3">
        <v>0</v>
      </c>
      <c r="AI56" s="3">
        <v>430764.01</v>
      </c>
      <c r="AJ56" s="3">
        <v>269235.99</v>
      </c>
      <c r="AK56" s="2" t="s">
        <v>174</v>
      </c>
      <c r="AL56" s="2" t="s">
        <v>175</v>
      </c>
      <c r="AM56" s="3">
        <f>VLOOKUP(AL56,Table1[],2,FALSE)</f>
        <v>700000</v>
      </c>
      <c r="AN56" s="3">
        <f>VLOOKUP(AL56,Table1[],3,FALSE)</f>
        <v>0</v>
      </c>
      <c r="AO56" s="3">
        <f>VLOOKUP($AL56,Table1[],4,FALSE)</f>
        <v>700000</v>
      </c>
      <c r="AP56" s="3">
        <f>VLOOKUP($AL56,Table1[],5,FALSE)</f>
        <v>0</v>
      </c>
      <c r="AQ56" s="3">
        <f>VLOOKUP($AL56,Table1[],6,FALSE)</f>
        <v>0</v>
      </c>
      <c r="AR56" s="3">
        <f>VLOOKUP($AL56,Table1[],7,FALSE)</f>
        <v>0</v>
      </c>
      <c r="AS56" s="3">
        <f>VLOOKUP($AL56,Table1[],8,FALSE)</f>
        <v>700000</v>
      </c>
    </row>
    <row r="57" spans="1:45" x14ac:dyDescent="0.35">
      <c r="A57" s="2" t="s">
        <v>176</v>
      </c>
      <c r="B57" s="3">
        <v>56335967.619999997</v>
      </c>
      <c r="C57" s="3">
        <v>41108534.670000002</v>
      </c>
      <c r="D57" s="3">
        <v>17346058.809999999</v>
      </c>
      <c r="E57" s="3">
        <v>58454593.479999997</v>
      </c>
      <c r="F57" s="3">
        <v>-2118625.86</v>
      </c>
      <c r="G57" s="3">
        <v>29687988.539999999</v>
      </c>
      <c r="H57" s="3">
        <v>36593615.060000002</v>
      </c>
      <c r="I57" s="3">
        <v>0</v>
      </c>
      <c r="J57" s="3">
        <v>36593615.060000002</v>
      </c>
      <c r="K57" s="3">
        <v>-6905626.5199999996</v>
      </c>
      <c r="L57" s="3">
        <v>26647979.079999998</v>
      </c>
      <c r="M57" s="3">
        <v>4514919.6100000003</v>
      </c>
      <c r="N57" s="3">
        <v>17346058.809999999</v>
      </c>
      <c r="O57" s="3">
        <v>21860978.420000002</v>
      </c>
      <c r="P57" s="3">
        <v>4787000.66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56441592.759999998</v>
      </c>
      <c r="AG57" s="3">
        <v>41108534.670000002</v>
      </c>
      <c r="AH57" s="3">
        <v>17346058.809999999</v>
      </c>
      <c r="AI57" s="3">
        <v>58454593.479999997</v>
      </c>
      <c r="AJ57" s="3">
        <v>-2013000.72</v>
      </c>
      <c r="AK57" s="2" t="s">
        <v>177</v>
      </c>
      <c r="AL57" s="2" t="s">
        <v>178</v>
      </c>
      <c r="AM57" s="3">
        <f>VLOOKUP(AL57,Table1[],2,FALSE)</f>
        <v>80000000</v>
      </c>
      <c r="AN57" s="3">
        <f>VLOOKUP(AL57,Table1[],3,FALSE)</f>
        <v>80000000</v>
      </c>
      <c r="AO57" s="3">
        <f>VLOOKUP($AL57,Table1[],4,FALSE)</f>
        <v>0</v>
      </c>
      <c r="AP57" s="3">
        <f>VLOOKUP($AL57,Table1[],5,FALSE)</f>
        <v>0</v>
      </c>
      <c r="AQ57" s="3">
        <f>VLOOKUP($AL57,Table1[],6,FALSE)</f>
        <v>0</v>
      </c>
      <c r="AR57" s="3">
        <f>VLOOKUP($AL57,Table1[],7,FALSE)</f>
        <v>0</v>
      </c>
      <c r="AS57" s="3">
        <f>VLOOKUP($AL57,Table1[],8,FALSE)</f>
        <v>80000000</v>
      </c>
    </row>
    <row r="58" spans="1:45" x14ac:dyDescent="0.35">
      <c r="A58" s="2" t="s">
        <v>179</v>
      </c>
      <c r="B58" s="3">
        <v>48100000</v>
      </c>
      <c r="C58" s="3">
        <v>0</v>
      </c>
      <c r="D58" s="3">
        <v>2181356</v>
      </c>
      <c r="E58" s="3">
        <v>2181356</v>
      </c>
      <c r="F58" s="3">
        <v>45918644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48100000</v>
      </c>
      <c r="M58" s="3">
        <v>0</v>
      </c>
      <c r="N58" s="3">
        <v>2181356</v>
      </c>
      <c r="O58" s="3">
        <v>2181356</v>
      </c>
      <c r="P58" s="3">
        <v>45918644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48100000</v>
      </c>
      <c r="AG58" s="3">
        <v>0</v>
      </c>
      <c r="AH58" s="3">
        <v>2181356</v>
      </c>
      <c r="AI58" s="3">
        <v>2181356</v>
      </c>
      <c r="AJ58" s="3">
        <v>45918644</v>
      </c>
      <c r="AK58" s="2" t="s">
        <v>180</v>
      </c>
      <c r="AL58" s="2" t="s">
        <v>181</v>
      </c>
      <c r="AM58" s="3" t="e">
        <f>VLOOKUP(AL58,Table1[],2,FALSE)</f>
        <v>#N/A</v>
      </c>
      <c r="AN58" s="3" t="e">
        <f>VLOOKUP(AL58,Table1[],3,FALSE)</f>
        <v>#N/A</v>
      </c>
      <c r="AO58" s="3" t="e">
        <f>VLOOKUP($AL58,Table1[],4,FALSE)</f>
        <v>#N/A</v>
      </c>
      <c r="AP58" s="3" t="e">
        <f>VLOOKUP($AL58,Table1[],5,FALSE)</f>
        <v>#N/A</v>
      </c>
      <c r="AQ58" s="3" t="e">
        <f>VLOOKUP($AL58,Table1[],6,FALSE)</f>
        <v>#N/A</v>
      </c>
      <c r="AR58" s="3" t="e">
        <f>VLOOKUP($AL58,Table1[],7,FALSE)</f>
        <v>#N/A</v>
      </c>
      <c r="AS58" s="3" t="e">
        <f>VLOOKUP($AL58,Table1[],8,FALSE)</f>
        <v>#N/A</v>
      </c>
    </row>
    <row r="59" spans="1:45" x14ac:dyDescent="0.35">
      <c r="A59" s="2" t="s">
        <v>182</v>
      </c>
      <c r="B59" s="3">
        <v>300000</v>
      </c>
      <c r="C59" s="3">
        <v>14848.95</v>
      </c>
      <c r="D59" s="3">
        <v>0</v>
      </c>
      <c r="E59" s="3">
        <v>14848.95</v>
      </c>
      <c r="F59" s="3">
        <v>285151.05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300000</v>
      </c>
      <c r="M59" s="3">
        <v>14848.95</v>
      </c>
      <c r="N59" s="3">
        <v>0</v>
      </c>
      <c r="O59" s="3">
        <v>14848.95</v>
      </c>
      <c r="P59" s="3">
        <v>285151.05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300000</v>
      </c>
      <c r="AG59" s="3">
        <v>14848.95</v>
      </c>
      <c r="AH59" s="3">
        <v>0</v>
      </c>
      <c r="AI59" s="3">
        <v>14848.95</v>
      </c>
      <c r="AJ59" s="3">
        <v>285151.05</v>
      </c>
      <c r="AK59" s="2" t="s">
        <v>183</v>
      </c>
      <c r="AL59" s="2" t="s">
        <v>184</v>
      </c>
      <c r="AM59" s="3">
        <f>VLOOKUP(AL59,Table1[],2,FALSE)</f>
        <v>20500000</v>
      </c>
      <c r="AN59" s="3">
        <f>VLOOKUP(AL59,Table1[],3,FALSE)</f>
        <v>20500000</v>
      </c>
      <c r="AO59" s="3">
        <f>VLOOKUP($AL59,Table1[],4,FALSE)</f>
        <v>0</v>
      </c>
      <c r="AP59" s="3">
        <f>VLOOKUP($AL59,Table1[],5,FALSE)</f>
        <v>0</v>
      </c>
      <c r="AQ59" s="3">
        <f>VLOOKUP($AL59,Table1[],6,FALSE)</f>
        <v>0</v>
      </c>
      <c r="AR59" s="3">
        <f>VLOOKUP($AL59,Table1[],7,FALSE)</f>
        <v>0</v>
      </c>
      <c r="AS59" s="3">
        <f>VLOOKUP($AL59,Table1[],8,FALSE)</f>
        <v>20500000</v>
      </c>
    </row>
    <row r="60" spans="1:45" x14ac:dyDescent="0.35">
      <c r="A60" s="2" t="s">
        <v>185</v>
      </c>
      <c r="B60" s="3">
        <v>775059243.00999999</v>
      </c>
      <c r="C60" s="3">
        <v>650926712.37</v>
      </c>
      <c r="D60" s="3">
        <v>116784255.72</v>
      </c>
      <c r="E60" s="3">
        <v>767710968.09000003</v>
      </c>
      <c r="F60" s="3">
        <v>7348274.9199999999</v>
      </c>
      <c r="G60" s="3">
        <v>613907033.61000001</v>
      </c>
      <c r="H60" s="3">
        <v>613907033.61000001</v>
      </c>
      <c r="I60" s="3">
        <v>676826.98</v>
      </c>
      <c r="J60" s="3">
        <v>614583860.59000003</v>
      </c>
      <c r="K60" s="3">
        <v>-676826.98</v>
      </c>
      <c r="L60" s="3">
        <v>161152209.40000001</v>
      </c>
      <c r="M60" s="3">
        <v>37019678.759999998</v>
      </c>
      <c r="N60" s="3">
        <v>116107428.73999999</v>
      </c>
      <c r="O60" s="3">
        <v>153127107.5</v>
      </c>
      <c r="P60" s="3">
        <v>8025101.9000000004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775059243.00999999</v>
      </c>
      <c r="AG60" s="3">
        <v>650926712.37</v>
      </c>
      <c r="AH60" s="3">
        <v>116784255.72</v>
      </c>
      <c r="AI60" s="3">
        <v>767710968.09000003</v>
      </c>
      <c r="AJ60" s="3">
        <v>7348274.9199999999</v>
      </c>
      <c r="AK60" s="2" t="s">
        <v>186</v>
      </c>
      <c r="AL60" s="2" t="s">
        <v>187</v>
      </c>
      <c r="AM60" s="3">
        <f>VLOOKUP(AL60,Table1[],2,FALSE)</f>
        <v>873800000</v>
      </c>
      <c r="AN60" s="3">
        <f>VLOOKUP(AL60,Table1[],3,FALSE)</f>
        <v>848800000</v>
      </c>
      <c r="AO60" s="3">
        <f>VLOOKUP($AL60,Table1[],4,FALSE)</f>
        <v>25000000</v>
      </c>
      <c r="AP60" s="3">
        <f>VLOOKUP($AL60,Table1[],5,FALSE)</f>
        <v>0</v>
      </c>
      <c r="AQ60" s="3">
        <f>VLOOKUP($AL60,Table1[],6,FALSE)</f>
        <v>0</v>
      </c>
      <c r="AR60" s="3">
        <f>VLOOKUP($AL60,Table1[],7,FALSE)</f>
        <v>0</v>
      </c>
      <c r="AS60" s="3">
        <f>VLOOKUP($AL60,Table1[],8,FALSE)</f>
        <v>432800000</v>
      </c>
    </row>
    <row r="61" spans="1:45" x14ac:dyDescent="0.35">
      <c r="A61" s="2" t="s">
        <v>188</v>
      </c>
      <c r="B61" s="3">
        <v>57884278.229999997</v>
      </c>
      <c r="C61" s="3">
        <v>23836007.210000001</v>
      </c>
      <c r="D61" s="3">
        <v>15801981.199999999</v>
      </c>
      <c r="E61" s="3">
        <v>39637988.409999996</v>
      </c>
      <c r="F61" s="3">
        <v>18246289.82</v>
      </c>
      <c r="G61" s="3">
        <v>3791377.95</v>
      </c>
      <c r="H61" s="3">
        <v>4552580.0199999996</v>
      </c>
      <c r="I61" s="3">
        <v>0</v>
      </c>
      <c r="J61" s="3">
        <v>4552580.0199999996</v>
      </c>
      <c r="K61" s="3">
        <v>-761202.07</v>
      </c>
      <c r="L61" s="3">
        <v>54092900.280000001</v>
      </c>
      <c r="M61" s="3">
        <v>19283427.190000001</v>
      </c>
      <c r="N61" s="3">
        <v>15801981.199999999</v>
      </c>
      <c r="O61" s="3">
        <v>35085408.390000001</v>
      </c>
      <c r="P61" s="3">
        <v>19007491.890000001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57884278.229999997</v>
      </c>
      <c r="AG61" s="3">
        <v>23836007.210000001</v>
      </c>
      <c r="AH61" s="3">
        <v>15801981.199999999</v>
      </c>
      <c r="AI61" s="3">
        <v>39637988.409999996</v>
      </c>
      <c r="AJ61" s="3">
        <v>18246289.82</v>
      </c>
      <c r="AK61" s="2" t="s">
        <v>189</v>
      </c>
      <c r="AL61" s="2" t="s">
        <v>190</v>
      </c>
      <c r="AM61" s="3">
        <f>VLOOKUP(AL61,Table1[],2,FALSE)</f>
        <v>104465000</v>
      </c>
      <c r="AN61" s="3">
        <f>VLOOKUP(AL61,Table1[],3,FALSE)</f>
        <v>65200000</v>
      </c>
      <c r="AO61" s="3">
        <f>VLOOKUP($AL61,Table1[],4,FALSE)</f>
        <v>39265000</v>
      </c>
      <c r="AP61" s="3">
        <f>VLOOKUP($AL61,Table1[],5,FALSE)</f>
        <v>0</v>
      </c>
      <c r="AQ61" s="3">
        <f>VLOOKUP($AL61,Table1[],6,FALSE)</f>
        <v>0</v>
      </c>
      <c r="AR61" s="3">
        <f>VLOOKUP($AL61,Table1[],7,FALSE)</f>
        <v>0</v>
      </c>
      <c r="AS61" s="3">
        <f>VLOOKUP($AL61,Table1[],8,FALSE)</f>
        <v>104465000</v>
      </c>
    </row>
    <row r="62" spans="1:45" x14ac:dyDescent="0.35">
      <c r="A62" s="2" t="s">
        <v>191</v>
      </c>
      <c r="B62" s="3">
        <v>2652167378.3699999</v>
      </c>
      <c r="C62" s="3">
        <v>343928855.68000001</v>
      </c>
      <c r="D62" s="3">
        <v>1721607082.72</v>
      </c>
      <c r="E62" s="3">
        <v>2065582642.77</v>
      </c>
      <c r="F62" s="3">
        <v>586584735.60000002</v>
      </c>
      <c r="G62" s="3">
        <v>132693237.06</v>
      </c>
      <c r="H62" s="3">
        <v>132123090.31</v>
      </c>
      <c r="I62" s="3">
        <v>0</v>
      </c>
      <c r="J62" s="3">
        <v>132169794.68000001</v>
      </c>
      <c r="K62" s="3">
        <v>523442.38</v>
      </c>
      <c r="L62" s="3">
        <v>2519474141.3099999</v>
      </c>
      <c r="M62" s="3">
        <v>211805765.37</v>
      </c>
      <c r="N62" s="3">
        <v>1618550525.77</v>
      </c>
      <c r="O62" s="3">
        <v>1830356291.1400001</v>
      </c>
      <c r="P62" s="3">
        <v>689117850.16999996</v>
      </c>
      <c r="Q62" s="3">
        <v>0</v>
      </c>
      <c r="R62" s="3">
        <v>0</v>
      </c>
      <c r="S62" s="3">
        <v>103056556.95</v>
      </c>
      <c r="T62" s="3">
        <v>103056556.95</v>
      </c>
      <c r="U62" s="3">
        <v>-103056556.95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2652167378.3699999</v>
      </c>
      <c r="AG62" s="3">
        <v>343928855.68000001</v>
      </c>
      <c r="AH62" s="3">
        <v>1721607082.72</v>
      </c>
      <c r="AI62" s="3">
        <v>2065582642.77</v>
      </c>
      <c r="AJ62" s="3">
        <v>586584735.60000002</v>
      </c>
      <c r="AK62" s="2" t="s">
        <v>192</v>
      </c>
      <c r="AL62" s="2" t="s">
        <v>193</v>
      </c>
      <c r="AM62" s="3">
        <f>VLOOKUP(AL62,Table1[],2,FALSE)</f>
        <v>1613800465</v>
      </c>
      <c r="AN62" s="3">
        <f>VLOOKUP(AL62,Table1[],3,FALSE)</f>
        <v>155</v>
      </c>
      <c r="AO62" s="3">
        <f>VLOOKUP($AL62,Table1[],4,FALSE)</f>
        <v>1613800310</v>
      </c>
      <c r="AP62" s="3">
        <f>VLOOKUP($AL62,Table1[],5,FALSE)</f>
        <v>0</v>
      </c>
      <c r="AQ62" s="3">
        <f>VLOOKUP($AL62,Table1[],6,FALSE)</f>
        <v>0</v>
      </c>
      <c r="AR62" s="3">
        <f>VLOOKUP($AL62,Table1[],7,FALSE)</f>
        <v>0</v>
      </c>
      <c r="AS62" s="3">
        <f>VLOOKUP($AL62,Table1[],8,FALSE)</f>
        <v>155</v>
      </c>
    </row>
    <row r="63" spans="1:45" x14ac:dyDescent="0.35">
      <c r="A63" s="2" t="s">
        <v>194</v>
      </c>
      <c r="B63" s="3">
        <v>46968520.439999998</v>
      </c>
      <c r="C63" s="3">
        <v>15199293.1</v>
      </c>
      <c r="D63" s="3">
        <v>24145673.719999999</v>
      </c>
      <c r="E63" s="3">
        <v>39344966.82</v>
      </c>
      <c r="F63" s="3">
        <v>7623553.6200000001</v>
      </c>
      <c r="G63" s="3">
        <v>7848028.3300000001</v>
      </c>
      <c r="H63" s="3">
        <v>7848028.3300000001</v>
      </c>
      <c r="I63" s="3">
        <v>0</v>
      </c>
      <c r="J63" s="3">
        <v>7848028.3300000001</v>
      </c>
      <c r="K63" s="3">
        <v>0</v>
      </c>
      <c r="L63" s="3">
        <v>39120492.109999999</v>
      </c>
      <c r="M63" s="3">
        <v>7351264.7699999996</v>
      </c>
      <c r="N63" s="3">
        <v>24145673.719999999</v>
      </c>
      <c r="O63" s="3">
        <v>31496938.489999998</v>
      </c>
      <c r="P63" s="3">
        <v>7623553.6200000001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46968520.439999998</v>
      </c>
      <c r="AG63" s="3">
        <v>15199293.1</v>
      </c>
      <c r="AH63" s="3">
        <v>24145673.719999999</v>
      </c>
      <c r="AI63" s="3">
        <v>39344966.82</v>
      </c>
      <c r="AJ63" s="3">
        <v>7623553.6200000001</v>
      </c>
      <c r="AK63" s="2" t="s">
        <v>195</v>
      </c>
      <c r="AL63" s="2" t="s">
        <v>196</v>
      </c>
      <c r="AM63" s="3">
        <f>VLOOKUP(AL63,Table1[],2,FALSE)</f>
        <v>49830000</v>
      </c>
      <c r="AN63" s="3">
        <f>VLOOKUP(AL63,Table1[],3,FALSE)</f>
        <v>43330000</v>
      </c>
      <c r="AO63" s="3">
        <f>VLOOKUP($AL63,Table1[],4,FALSE)</f>
        <v>6500000</v>
      </c>
      <c r="AP63" s="3">
        <f>VLOOKUP($AL63,Table1[],5,FALSE)</f>
        <v>0</v>
      </c>
      <c r="AQ63" s="3">
        <f>VLOOKUP($AL63,Table1[],6,FALSE)</f>
        <v>0</v>
      </c>
      <c r="AR63" s="3">
        <f>VLOOKUP($AL63,Table1[],7,FALSE)</f>
        <v>0</v>
      </c>
      <c r="AS63" s="3">
        <f>VLOOKUP($AL63,Table1[],8,FALSE)</f>
        <v>49830000</v>
      </c>
    </row>
    <row r="64" spans="1:45" x14ac:dyDescent="0.35">
      <c r="A64" s="2" t="s">
        <v>197</v>
      </c>
      <c r="B64" s="3">
        <v>20488338.93</v>
      </c>
      <c r="C64" s="3">
        <v>12942988.68</v>
      </c>
      <c r="D64" s="3">
        <v>1362466</v>
      </c>
      <c r="E64" s="3">
        <v>14305454.68</v>
      </c>
      <c r="F64" s="3">
        <v>6182884.25</v>
      </c>
      <c r="G64" s="3">
        <v>6417722.8899999997</v>
      </c>
      <c r="H64" s="3">
        <v>6417722.8899999997</v>
      </c>
      <c r="I64" s="3">
        <v>0</v>
      </c>
      <c r="J64" s="3">
        <v>6417722.8899999997</v>
      </c>
      <c r="K64" s="3">
        <v>0</v>
      </c>
      <c r="L64" s="3">
        <v>14070616.039999999</v>
      </c>
      <c r="M64" s="3">
        <v>6525265.79</v>
      </c>
      <c r="N64" s="3">
        <v>1362466</v>
      </c>
      <c r="O64" s="3">
        <v>7887731.79</v>
      </c>
      <c r="P64" s="3">
        <v>6182884.25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20488338.93</v>
      </c>
      <c r="AG64" s="3">
        <v>12942988.68</v>
      </c>
      <c r="AH64" s="3">
        <v>1362466</v>
      </c>
      <c r="AI64" s="3">
        <v>14305454.68</v>
      </c>
      <c r="AJ64" s="3">
        <v>6182884.25</v>
      </c>
      <c r="AK64" s="2" t="s">
        <v>198</v>
      </c>
      <c r="AL64" s="2" t="s">
        <v>199</v>
      </c>
      <c r="AM64" s="3">
        <f>VLOOKUP(AL64,Table1[],2,FALSE)</f>
        <v>127500000</v>
      </c>
      <c r="AN64" s="3">
        <f>VLOOKUP(AL64,Table1[],3,FALSE)</f>
        <v>98800000</v>
      </c>
      <c r="AO64" s="3">
        <f>VLOOKUP($AL64,Table1[],4,FALSE)</f>
        <v>28700000</v>
      </c>
      <c r="AP64" s="3">
        <f>VLOOKUP($AL64,Table1[],5,FALSE)</f>
        <v>0</v>
      </c>
      <c r="AQ64" s="3">
        <f>VLOOKUP($AL64,Table1[],6,FALSE)</f>
        <v>0</v>
      </c>
      <c r="AR64" s="3">
        <f>VLOOKUP($AL64,Table1[],7,FALSE)</f>
        <v>0</v>
      </c>
      <c r="AS64" s="3">
        <f>VLOOKUP($AL64,Table1[],8,FALSE)</f>
        <v>127500000</v>
      </c>
    </row>
    <row r="65" spans="1:45" x14ac:dyDescent="0.35">
      <c r="A65" s="2" t="s">
        <v>200</v>
      </c>
      <c r="B65" s="3">
        <v>5414379417.0299997</v>
      </c>
      <c r="C65" s="3">
        <v>3535503570.5599999</v>
      </c>
      <c r="D65" s="3">
        <v>1494547318.8499999</v>
      </c>
      <c r="E65" s="3">
        <v>5030050889.4099998</v>
      </c>
      <c r="F65" s="3">
        <v>384328527.62</v>
      </c>
      <c r="G65" s="3">
        <v>2639889285.5900002</v>
      </c>
      <c r="H65" s="3">
        <v>2639889285.6199999</v>
      </c>
      <c r="I65" s="3">
        <v>0</v>
      </c>
      <c r="J65" s="3">
        <v>2639889285.6199999</v>
      </c>
      <c r="K65" s="3">
        <v>-0.03</v>
      </c>
      <c r="L65" s="3">
        <v>2774490131.4400001</v>
      </c>
      <c r="M65" s="3">
        <v>895614284.94000006</v>
      </c>
      <c r="N65" s="3">
        <v>672130715.26999998</v>
      </c>
      <c r="O65" s="3">
        <v>1567745000.21</v>
      </c>
      <c r="P65" s="3">
        <v>1206745131.23</v>
      </c>
      <c r="Q65" s="3">
        <v>0</v>
      </c>
      <c r="R65" s="3">
        <v>0</v>
      </c>
      <c r="S65" s="3">
        <v>822416603.58000004</v>
      </c>
      <c r="T65" s="3">
        <v>822416603.58000004</v>
      </c>
      <c r="U65" s="3">
        <v>-822416603.58000004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5414379417.0500002</v>
      </c>
      <c r="AG65" s="3">
        <v>3535503570.5599999</v>
      </c>
      <c r="AH65" s="3">
        <v>1494547318.8499999</v>
      </c>
      <c r="AI65" s="3">
        <v>5030050889.4099998</v>
      </c>
      <c r="AJ65" s="3">
        <v>384328527.63999999</v>
      </c>
      <c r="AK65" s="2" t="s">
        <v>201</v>
      </c>
      <c r="AL65" s="2" t="s">
        <v>202</v>
      </c>
      <c r="AM65" s="3">
        <f>VLOOKUP(AL65,Table1[],2,FALSE)</f>
        <v>5755800000</v>
      </c>
      <c r="AN65" s="3">
        <f>VLOOKUP(AL65,Table1[],3,FALSE)</f>
        <v>3449800000</v>
      </c>
      <c r="AO65" s="3">
        <f>VLOOKUP($AL65,Table1[],4,FALSE)</f>
        <v>2306000000</v>
      </c>
      <c r="AP65" s="3">
        <f>VLOOKUP($AL65,Table1[],5,FALSE)</f>
        <v>0</v>
      </c>
      <c r="AQ65" s="3">
        <f>VLOOKUP($AL65,Table1[],6,FALSE)</f>
        <v>0</v>
      </c>
      <c r="AR65" s="3">
        <f>VLOOKUP($AL65,Table1[],7,FALSE)</f>
        <v>0</v>
      </c>
      <c r="AS65" s="3">
        <f>VLOOKUP($AL65,Table1[],8,FALSE)</f>
        <v>5755853475</v>
      </c>
    </row>
    <row r="66" spans="1:45" x14ac:dyDescent="0.35">
      <c r="A66" s="2" t="s">
        <v>203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2" t="s">
        <v>204</v>
      </c>
      <c r="AL66" s="2" t="s">
        <v>205</v>
      </c>
      <c r="AM66" s="3">
        <f>VLOOKUP(AL66,Table1[],2,FALSE)</f>
        <v>100000</v>
      </c>
      <c r="AN66" s="3">
        <f>VLOOKUP(AL66,Table1[],3,FALSE)</f>
        <v>100000</v>
      </c>
      <c r="AO66" s="3">
        <f>VLOOKUP($AL66,Table1[],4,FALSE)</f>
        <v>0</v>
      </c>
      <c r="AP66" s="3">
        <f>VLOOKUP($AL66,Table1[],5,FALSE)</f>
        <v>0</v>
      </c>
      <c r="AQ66" s="3">
        <f>VLOOKUP($AL66,Table1[],6,FALSE)</f>
        <v>0</v>
      </c>
      <c r="AR66" s="3">
        <f>VLOOKUP($AL66,Table1[],7,FALSE)</f>
        <v>0</v>
      </c>
      <c r="AS66" s="3">
        <f>VLOOKUP($AL66,Table1[],8,FALSE)</f>
        <v>100000</v>
      </c>
    </row>
    <row r="67" spans="1:45" x14ac:dyDescent="0.35">
      <c r="A67" s="2" t="s">
        <v>206</v>
      </c>
      <c r="B67" s="3">
        <v>60215054.740000002</v>
      </c>
      <c r="C67" s="3">
        <v>19979085.66</v>
      </c>
      <c r="D67" s="3">
        <v>15408719.689999999</v>
      </c>
      <c r="E67" s="3">
        <v>35387805.350000001</v>
      </c>
      <c r="F67" s="3">
        <v>24827249.390000001</v>
      </c>
      <c r="G67" s="3">
        <v>17446752.870000001</v>
      </c>
      <c r="H67" s="3">
        <v>17446752.789999999</v>
      </c>
      <c r="I67" s="3">
        <v>0</v>
      </c>
      <c r="J67" s="3">
        <v>17446752.789999999</v>
      </c>
      <c r="K67" s="3">
        <v>0.08</v>
      </c>
      <c r="L67" s="3">
        <v>42768301.869999997</v>
      </c>
      <c r="M67" s="3">
        <v>2532332.87</v>
      </c>
      <c r="N67" s="3">
        <v>13933719.689999999</v>
      </c>
      <c r="O67" s="3">
        <v>16466052.560000001</v>
      </c>
      <c r="P67" s="3">
        <v>26302249.309999999</v>
      </c>
      <c r="Q67" s="3">
        <v>0</v>
      </c>
      <c r="R67" s="3">
        <v>0</v>
      </c>
      <c r="S67" s="3">
        <v>1475000</v>
      </c>
      <c r="T67" s="3">
        <v>1475000</v>
      </c>
      <c r="U67" s="3">
        <v>-1475000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60215054.740000002</v>
      </c>
      <c r="AG67" s="3">
        <v>19979085.66</v>
      </c>
      <c r="AH67" s="3">
        <v>15408719.689999999</v>
      </c>
      <c r="AI67" s="3">
        <v>35387805.350000001</v>
      </c>
      <c r="AJ67" s="3">
        <v>24827249.390000001</v>
      </c>
      <c r="AK67" s="2" t="s">
        <v>207</v>
      </c>
      <c r="AL67" s="2" t="s">
        <v>208</v>
      </c>
      <c r="AM67" s="3">
        <f>VLOOKUP(AL67,Table1[],2,FALSE)</f>
        <v>40645000</v>
      </c>
      <c r="AN67" s="3">
        <f>VLOOKUP(AL67,Table1[],3,FALSE)</f>
        <v>40645000</v>
      </c>
      <c r="AO67" s="3">
        <f>VLOOKUP($AL67,Table1[],4,FALSE)</f>
        <v>0</v>
      </c>
      <c r="AP67" s="3">
        <f>VLOOKUP($AL67,Table1[],5,FALSE)</f>
        <v>0</v>
      </c>
      <c r="AQ67" s="3">
        <f>VLOOKUP($AL67,Table1[],6,FALSE)</f>
        <v>0</v>
      </c>
      <c r="AR67" s="3">
        <f>VLOOKUP($AL67,Table1[],7,FALSE)</f>
        <v>0</v>
      </c>
      <c r="AS67" s="3">
        <f>VLOOKUP($AL67,Table1[],8,FALSE)</f>
        <v>40645000</v>
      </c>
    </row>
    <row r="68" spans="1:45" x14ac:dyDescent="0.35">
      <c r="A68" s="2" t="s">
        <v>209</v>
      </c>
      <c r="B68" s="3">
        <v>2635156340.1700001</v>
      </c>
      <c r="C68" s="3">
        <v>493391804.54000002</v>
      </c>
      <c r="D68" s="3">
        <v>1326308461.6300001</v>
      </c>
      <c r="E68" s="3">
        <v>1820609479.3699999</v>
      </c>
      <c r="F68" s="3">
        <v>814546860.79999995</v>
      </c>
      <c r="G68" s="3">
        <v>181250993.91</v>
      </c>
      <c r="H68" s="3">
        <v>181250993.91</v>
      </c>
      <c r="I68" s="3">
        <v>12903017.82</v>
      </c>
      <c r="J68" s="3">
        <v>194154011.72999999</v>
      </c>
      <c r="K68" s="3">
        <v>-12903017.82</v>
      </c>
      <c r="L68" s="3">
        <v>2453905346.2600002</v>
      </c>
      <c r="M68" s="3">
        <v>312140810.63</v>
      </c>
      <c r="N68" s="3">
        <v>1226645297.05</v>
      </c>
      <c r="O68" s="3">
        <v>1539695320.8800001</v>
      </c>
      <c r="P68" s="3">
        <v>914210025.38</v>
      </c>
      <c r="Q68" s="3">
        <v>0</v>
      </c>
      <c r="R68" s="3">
        <v>0</v>
      </c>
      <c r="S68" s="3">
        <v>86760146.760000005</v>
      </c>
      <c r="T68" s="3">
        <v>86760146.760000005</v>
      </c>
      <c r="U68" s="3">
        <v>-86760146.760000005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2638451692.73</v>
      </c>
      <c r="AG68" s="3">
        <v>493391804.54000002</v>
      </c>
      <c r="AH68" s="3">
        <v>1326308461.6300001</v>
      </c>
      <c r="AI68" s="3">
        <v>1820609479.3699999</v>
      </c>
      <c r="AJ68" s="3">
        <v>817842213.36000001</v>
      </c>
      <c r="AK68" s="2" t="s">
        <v>210</v>
      </c>
      <c r="AL68" s="2" t="s">
        <v>211</v>
      </c>
      <c r="AM68" s="3">
        <f>VLOOKUP(AL68,Table1[],2,FALSE)</f>
        <v>4263500000</v>
      </c>
      <c r="AN68" s="3">
        <f>VLOOKUP(AL68,Table1[],3,FALSE)</f>
        <v>2119600000</v>
      </c>
      <c r="AO68" s="3">
        <f>VLOOKUP($AL68,Table1[],4,FALSE)</f>
        <v>2143900000</v>
      </c>
      <c r="AP68" s="3">
        <f>VLOOKUP($AL68,Table1[],5,FALSE)</f>
        <v>0</v>
      </c>
      <c r="AQ68" s="3">
        <f>VLOOKUP($AL68,Table1[],6,FALSE)</f>
        <v>0</v>
      </c>
      <c r="AR68" s="3">
        <f>VLOOKUP($AL68,Table1[],7,FALSE)</f>
        <v>0</v>
      </c>
      <c r="AS68" s="3">
        <f>VLOOKUP($AL68,Table1[],8,FALSE)</f>
        <v>4263500000</v>
      </c>
    </row>
    <row r="69" spans="1:45" x14ac:dyDescent="0.35">
      <c r="A69" s="2" t="s">
        <v>212</v>
      </c>
      <c r="B69" s="3">
        <v>3436930655.4000001</v>
      </c>
      <c r="C69" s="3">
        <v>1191911518.3099999</v>
      </c>
      <c r="D69" s="3">
        <v>1499602209.8399999</v>
      </c>
      <c r="E69" s="3">
        <v>2691513728.1500001</v>
      </c>
      <c r="F69" s="3">
        <v>745416927.25</v>
      </c>
      <c r="G69" s="3">
        <v>316149311.69</v>
      </c>
      <c r="H69" s="3">
        <v>316149311.69</v>
      </c>
      <c r="I69" s="3">
        <v>76493160.549999997</v>
      </c>
      <c r="J69" s="3">
        <v>392642472.24000001</v>
      </c>
      <c r="K69" s="3">
        <v>-76493160.549999997</v>
      </c>
      <c r="L69" s="3">
        <v>3120781343.71</v>
      </c>
      <c r="M69" s="3">
        <v>875762206.62</v>
      </c>
      <c r="N69" s="3">
        <v>1306988599.8900001</v>
      </c>
      <c r="O69" s="3">
        <v>2182750806.5100002</v>
      </c>
      <c r="P69" s="3">
        <v>938030537.20000005</v>
      </c>
      <c r="Q69" s="3">
        <v>0</v>
      </c>
      <c r="R69" s="3">
        <v>0</v>
      </c>
      <c r="S69" s="3">
        <v>116120449.40000001</v>
      </c>
      <c r="T69" s="3">
        <v>116120449.40000001</v>
      </c>
      <c r="U69" s="3">
        <v>-116120449.40000001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3436930655.4000001</v>
      </c>
      <c r="AG69" s="3">
        <v>1191911518.3099999</v>
      </c>
      <c r="AH69" s="3">
        <v>1499602209.8399999</v>
      </c>
      <c r="AI69" s="3">
        <v>2691513728.1500001</v>
      </c>
      <c r="AJ69" s="3">
        <v>745416927.25</v>
      </c>
      <c r="AK69" s="2" t="s">
        <v>213</v>
      </c>
      <c r="AL69" s="2" t="s">
        <v>214</v>
      </c>
      <c r="AM69" s="3">
        <f>VLOOKUP(AL69,Table1[],2,FALSE)</f>
        <v>4198700000</v>
      </c>
      <c r="AN69" s="3">
        <f>VLOOKUP(AL69,Table1[],3,FALSE)</f>
        <v>1731000000</v>
      </c>
      <c r="AO69" s="3">
        <f>VLOOKUP($AL69,Table1[],4,FALSE)</f>
        <v>2467700000</v>
      </c>
      <c r="AP69" s="3">
        <f>VLOOKUP($AL69,Table1[],5,FALSE)</f>
        <v>0</v>
      </c>
      <c r="AQ69" s="3">
        <f>VLOOKUP($AL69,Table1[],6,FALSE)</f>
        <v>0</v>
      </c>
      <c r="AR69" s="3">
        <f>VLOOKUP($AL69,Table1[],7,FALSE)</f>
        <v>0</v>
      </c>
      <c r="AS69" s="3">
        <f>VLOOKUP($AL69,Table1[],8,FALSE)</f>
        <v>4198700000</v>
      </c>
    </row>
    <row r="70" spans="1:45" x14ac:dyDescent="0.35">
      <c r="A70" s="2" t="s">
        <v>215</v>
      </c>
      <c r="B70" s="3">
        <v>1945958550.8499999</v>
      </c>
      <c r="C70" s="3">
        <v>818291570.82000005</v>
      </c>
      <c r="D70" s="3">
        <v>689184514.27999997</v>
      </c>
      <c r="E70" s="3">
        <v>1507476085.0999999</v>
      </c>
      <c r="F70" s="3">
        <v>438482465.75</v>
      </c>
      <c r="G70" s="3">
        <v>585070207.27999997</v>
      </c>
      <c r="H70" s="3">
        <v>585070207.24000001</v>
      </c>
      <c r="I70" s="3">
        <v>582951.93999999994</v>
      </c>
      <c r="J70" s="3">
        <v>585653159.17999995</v>
      </c>
      <c r="K70" s="3">
        <v>-582951.9</v>
      </c>
      <c r="L70" s="3">
        <v>1360888343.5699999</v>
      </c>
      <c r="M70" s="3">
        <v>233221363.58000001</v>
      </c>
      <c r="N70" s="3">
        <v>600859606.36000001</v>
      </c>
      <c r="O70" s="3">
        <v>834080969.94000006</v>
      </c>
      <c r="P70" s="3">
        <v>526807373.63</v>
      </c>
      <c r="Q70" s="3">
        <v>0</v>
      </c>
      <c r="R70" s="3">
        <v>0</v>
      </c>
      <c r="S70" s="3">
        <v>87741955.980000004</v>
      </c>
      <c r="T70" s="3">
        <v>87741955.980000004</v>
      </c>
      <c r="U70" s="3">
        <v>-87741955.980000004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1945958550.8499999</v>
      </c>
      <c r="AG70" s="3">
        <v>818291570.82000005</v>
      </c>
      <c r="AH70" s="3">
        <v>689184514.27999997</v>
      </c>
      <c r="AI70" s="3">
        <v>1507476085.0999999</v>
      </c>
      <c r="AJ70" s="3">
        <v>438482465.75</v>
      </c>
      <c r="AK70" s="2" t="s">
        <v>216</v>
      </c>
      <c r="AL70" s="2" t="s">
        <v>217</v>
      </c>
      <c r="AM70" s="3">
        <f>VLOOKUP(AL70,Table1[],2,FALSE)</f>
        <v>437100000</v>
      </c>
      <c r="AN70" s="3">
        <f>VLOOKUP(AL70,Table1[],3,FALSE)</f>
        <v>0</v>
      </c>
      <c r="AO70" s="3">
        <f>VLOOKUP($AL70,Table1[],4,FALSE)</f>
        <v>437100000</v>
      </c>
      <c r="AP70" s="3">
        <f>VLOOKUP($AL70,Table1[],5,FALSE)</f>
        <v>0</v>
      </c>
      <c r="AQ70" s="3">
        <f>VLOOKUP($AL70,Table1[],6,FALSE)</f>
        <v>0</v>
      </c>
      <c r="AR70" s="3">
        <f>VLOOKUP($AL70,Table1[],7,FALSE)</f>
        <v>0</v>
      </c>
      <c r="AS70" s="3">
        <f>VLOOKUP($AL70,Table1[],8,FALSE)</f>
        <v>437100000</v>
      </c>
    </row>
    <row r="71" spans="1:45" x14ac:dyDescent="0.35">
      <c r="A71" s="2" t="s">
        <v>218</v>
      </c>
      <c r="B71" s="3">
        <v>68775268.170000002</v>
      </c>
      <c r="C71" s="3">
        <v>7688749.5199999996</v>
      </c>
      <c r="D71" s="3">
        <v>154242.87</v>
      </c>
      <c r="E71" s="3">
        <v>7842992.3899999997</v>
      </c>
      <c r="F71" s="3">
        <v>60932275.780000001</v>
      </c>
      <c r="G71" s="3">
        <v>7688749.7199999997</v>
      </c>
      <c r="H71" s="3">
        <v>7688749.5199999996</v>
      </c>
      <c r="I71" s="3">
        <v>0</v>
      </c>
      <c r="J71" s="3">
        <v>7688749.5199999996</v>
      </c>
      <c r="K71" s="3">
        <v>0.2</v>
      </c>
      <c r="L71" s="3">
        <v>61086518.450000003</v>
      </c>
      <c r="M71" s="3">
        <v>0</v>
      </c>
      <c r="N71" s="3">
        <v>154242.87</v>
      </c>
      <c r="O71" s="3">
        <v>154242.87</v>
      </c>
      <c r="P71" s="3">
        <v>60932275.579999998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68775268.170000002</v>
      </c>
      <c r="AG71" s="3">
        <v>7688749.5199999996</v>
      </c>
      <c r="AH71" s="3">
        <v>154242.87</v>
      </c>
      <c r="AI71" s="3">
        <v>7842992.3899999997</v>
      </c>
      <c r="AJ71" s="3">
        <v>60932275.780000001</v>
      </c>
      <c r="AK71" s="2" t="s">
        <v>219</v>
      </c>
      <c r="AL71" s="2" t="s">
        <v>220</v>
      </c>
      <c r="AM71" s="3">
        <f>VLOOKUP(AL71,Table1[],2,FALSE)</f>
        <v>254205000</v>
      </c>
      <c r="AN71" s="3">
        <f>VLOOKUP(AL71,Table1[],3,FALSE)</f>
        <v>254205000</v>
      </c>
      <c r="AO71" s="3">
        <f>VLOOKUP($AL71,Table1[],4,FALSE)</f>
        <v>0</v>
      </c>
      <c r="AP71" s="3">
        <f>VLOOKUP($AL71,Table1[],5,FALSE)</f>
        <v>0</v>
      </c>
      <c r="AQ71" s="3">
        <f>VLOOKUP($AL71,Table1[],6,FALSE)</f>
        <v>0</v>
      </c>
      <c r="AR71" s="3">
        <f>VLOOKUP($AL71,Table1[],7,FALSE)</f>
        <v>0</v>
      </c>
      <c r="AS71" s="3">
        <f>VLOOKUP($AL71,Table1[],8,FALSE)</f>
        <v>254205000</v>
      </c>
    </row>
    <row r="72" spans="1:45" x14ac:dyDescent="0.35">
      <c r="A72" s="2" t="s">
        <v>221</v>
      </c>
      <c r="B72" s="3">
        <v>2211403</v>
      </c>
      <c r="C72" s="3">
        <v>0</v>
      </c>
      <c r="D72" s="3">
        <v>1874070</v>
      </c>
      <c r="E72" s="3">
        <v>1874070</v>
      </c>
      <c r="F72" s="3">
        <v>337333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2211403</v>
      </c>
      <c r="M72" s="3">
        <v>0</v>
      </c>
      <c r="N72" s="3">
        <v>1874070</v>
      </c>
      <c r="O72" s="3">
        <v>1874070</v>
      </c>
      <c r="P72" s="3">
        <v>337333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2211403</v>
      </c>
      <c r="AG72" s="3">
        <v>0</v>
      </c>
      <c r="AH72" s="3">
        <v>1874070</v>
      </c>
      <c r="AI72" s="3">
        <v>1874070</v>
      </c>
      <c r="AJ72" s="3">
        <v>337333</v>
      </c>
      <c r="AK72" s="2" t="s">
        <v>222</v>
      </c>
      <c r="AL72" s="2" t="s">
        <v>223</v>
      </c>
      <c r="AM72" s="3">
        <f>VLOOKUP(AL72,Table1[],2,FALSE)</f>
        <v>52250000</v>
      </c>
      <c r="AN72" s="3">
        <f>VLOOKUP(AL72,Table1[],3,FALSE)</f>
        <v>52250000</v>
      </c>
      <c r="AO72" s="3">
        <f>VLOOKUP($AL72,Table1[],4,FALSE)</f>
        <v>0</v>
      </c>
      <c r="AP72" s="3">
        <f>VLOOKUP($AL72,Table1[],5,FALSE)</f>
        <v>0</v>
      </c>
      <c r="AQ72" s="3">
        <f>VLOOKUP($AL72,Table1[],6,FALSE)</f>
        <v>0</v>
      </c>
      <c r="AR72" s="3">
        <f>VLOOKUP($AL72,Table1[],7,FALSE)</f>
        <v>0</v>
      </c>
      <c r="AS72" s="3">
        <f>VLOOKUP($AL72,Table1[],8,FALSE)</f>
        <v>52250000</v>
      </c>
    </row>
    <row r="73" spans="1:45" x14ac:dyDescent="0.35">
      <c r="A73" s="2" t="s">
        <v>224</v>
      </c>
      <c r="B73" s="3">
        <v>60996959.460000001</v>
      </c>
      <c r="C73" s="3">
        <v>6095602.1399999997</v>
      </c>
      <c r="D73" s="3">
        <v>10275286.51</v>
      </c>
      <c r="E73" s="3">
        <v>16370888.65</v>
      </c>
      <c r="F73" s="3">
        <v>44626070.810000002</v>
      </c>
      <c r="G73" s="3">
        <v>5963301.9500000002</v>
      </c>
      <c r="H73" s="3">
        <v>5963301.9500000002</v>
      </c>
      <c r="I73" s="3">
        <v>0</v>
      </c>
      <c r="J73" s="3">
        <v>5963301.9500000002</v>
      </c>
      <c r="K73" s="3">
        <v>0</v>
      </c>
      <c r="L73" s="3">
        <v>55033657.509999998</v>
      </c>
      <c r="M73" s="3">
        <v>132300.19</v>
      </c>
      <c r="N73" s="3">
        <v>10275286.51</v>
      </c>
      <c r="O73" s="3">
        <v>10407586.699999999</v>
      </c>
      <c r="P73" s="3">
        <v>44626070.810000002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60996959.460000001</v>
      </c>
      <c r="AG73" s="3">
        <v>6095602.1399999997</v>
      </c>
      <c r="AH73" s="3">
        <v>10275286.51</v>
      </c>
      <c r="AI73" s="3">
        <v>16370888.65</v>
      </c>
      <c r="AJ73" s="3">
        <v>44626070.810000002</v>
      </c>
      <c r="AK73" s="2" t="s">
        <v>225</v>
      </c>
      <c r="AL73" s="2" t="s">
        <v>226</v>
      </c>
      <c r="AM73" s="3">
        <f>VLOOKUP(AL73,Table1[],2,FALSE)</f>
        <v>29200000</v>
      </c>
      <c r="AN73" s="3">
        <f>VLOOKUP(AL73,Table1[],3,FALSE)</f>
        <v>26450000</v>
      </c>
      <c r="AO73" s="3">
        <f>VLOOKUP($AL73,Table1[],4,FALSE)</f>
        <v>2750000</v>
      </c>
      <c r="AP73" s="3">
        <f>VLOOKUP($AL73,Table1[],5,FALSE)</f>
        <v>0</v>
      </c>
      <c r="AQ73" s="3">
        <f>VLOOKUP($AL73,Table1[],6,FALSE)</f>
        <v>0</v>
      </c>
      <c r="AR73" s="3">
        <f>VLOOKUP($AL73,Table1[],7,FALSE)</f>
        <v>0</v>
      </c>
      <c r="AS73" s="3">
        <f>VLOOKUP($AL73,Table1[],8,FALSE)</f>
        <v>26450000</v>
      </c>
    </row>
    <row r="74" spans="1:45" x14ac:dyDescent="0.35">
      <c r="A74" s="2" t="s">
        <v>227</v>
      </c>
      <c r="B74" s="3">
        <v>4393251.8600000003</v>
      </c>
      <c r="C74" s="3">
        <v>1395265.79</v>
      </c>
      <c r="D74" s="3">
        <v>1390090</v>
      </c>
      <c r="E74" s="3">
        <v>2785355.79</v>
      </c>
      <c r="F74" s="3">
        <v>1607896.07</v>
      </c>
      <c r="G74" s="3">
        <v>1106065.8600000001</v>
      </c>
      <c r="H74" s="3">
        <v>1106065.8600000001</v>
      </c>
      <c r="I74" s="3">
        <v>0</v>
      </c>
      <c r="J74" s="3">
        <v>1106065.8600000001</v>
      </c>
      <c r="K74" s="3">
        <v>0</v>
      </c>
      <c r="L74" s="3">
        <v>3287186</v>
      </c>
      <c r="M74" s="3">
        <v>289199.93</v>
      </c>
      <c r="N74" s="3">
        <v>1390090</v>
      </c>
      <c r="O74" s="3">
        <v>1679289.93</v>
      </c>
      <c r="P74" s="3">
        <v>1607896.07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4393251.8600000003</v>
      </c>
      <c r="AG74" s="3">
        <v>1395265.79</v>
      </c>
      <c r="AH74" s="3">
        <v>1390090</v>
      </c>
      <c r="AI74" s="3">
        <v>2785355.79</v>
      </c>
      <c r="AJ74" s="3">
        <v>1607896.07</v>
      </c>
      <c r="AK74" s="2" t="s">
        <v>228</v>
      </c>
      <c r="AL74" s="2" t="s">
        <v>229</v>
      </c>
      <c r="AM74" s="3">
        <f>VLOOKUP(AL74,Table1[],2,FALSE)</f>
        <v>2588000</v>
      </c>
      <c r="AN74" s="3">
        <f>VLOOKUP(AL74,Table1[],3,FALSE)</f>
        <v>88000</v>
      </c>
      <c r="AO74" s="3">
        <f>VLOOKUP($AL74,Table1[],4,FALSE)</f>
        <v>2500000</v>
      </c>
      <c r="AP74" s="3">
        <f>VLOOKUP($AL74,Table1[],5,FALSE)</f>
        <v>0</v>
      </c>
      <c r="AQ74" s="3">
        <f>VLOOKUP($AL74,Table1[],6,FALSE)</f>
        <v>0</v>
      </c>
      <c r="AR74" s="3">
        <f>VLOOKUP($AL74,Table1[],7,FALSE)</f>
        <v>0</v>
      </c>
      <c r="AS74" s="3">
        <f>VLOOKUP($AL74,Table1[],8,FALSE)</f>
        <v>2588000</v>
      </c>
    </row>
    <row r="75" spans="1:45" x14ac:dyDescent="0.35">
      <c r="A75" s="2" t="s">
        <v>230</v>
      </c>
      <c r="B75" s="3">
        <v>20034353.25</v>
      </c>
      <c r="C75" s="3">
        <v>6355287.4500000002</v>
      </c>
      <c r="D75" s="3">
        <v>4411376.97</v>
      </c>
      <c r="E75" s="3">
        <v>10766664.42</v>
      </c>
      <c r="F75" s="3">
        <v>9267688.8300000001</v>
      </c>
      <c r="G75" s="3">
        <v>5352030.4000000004</v>
      </c>
      <c r="H75" s="3">
        <v>5352030.4000000004</v>
      </c>
      <c r="I75" s="3">
        <v>0</v>
      </c>
      <c r="J75" s="3">
        <v>5352030.4000000004</v>
      </c>
      <c r="K75" s="3">
        <v>0</v>
      </c>
      <c r="L75" s="3">
        <v>14682322.85</v>
      </c>
      <c r="M75" s="3">
        <v>1003257.05</v>
      </c>
      <c r="N75" s="3">
        <v>4411376.97</v>
      </c>
      <c r="O75" s="3">
        <v>5414634.0199999996</v>
      </c>
      <c r="P75" s="3">
        <v>9267688.8300000001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20034353.25</v>
      </c>
      <c r="AG75" s="3">
        <v>6355287.4500000002</v>
      </c>
      <c r="AH75" s="3">
        <v>4411376.97</v>
      </c>
      <c r="AI75" s="3">
        <v>10766664.42</v>
      </c>
      <c r="AJ75" s="3">
        <v>9267688.8300000001</v>
      </c>
      <c r="AK75" s="2" t="s">
        <v>231</v>
      </c>
      <c r="AL75" s="2" t="s">
        <v>232</v>
      </c>
      <c r="AM75" s="3">
        <f>VLOOKUP(AL75,Table1[],2,FALSE)</f>
        <v>9364895</v>
      </c>
      <c r="AN75" s="3">
        <f>VLOOKUP(AL75,Table1[],3,FALSE)</f>
        <v>0</v>
      </c>
      <c r="AO75" s="3">
        <f>VLOOKUP($AL75,Table1[],4,FALSE)</f>
        <v>9364895</v>
      </c>
      <c r="AP75" s="3">
        <f>VLOOKUP($AL75,Table1[],5,FALSE)</f>
        <v>0</v>
      </c>
      <c r="AQ75" s="3">
        <f>VLOOKUP($AL75,Table1[],6,FALSE)</f>
        <v>0</v>
      </c>
      <c r="AR75" s="3">
        <f>VLOOKUP($AL75,Table1[],7,FALSE)</f>
        <v>0</v>
      </c>
      <c r="AS75" s="3">
        <f>VLOOKUP($AL75,Table1[],8,FALSE)</f>
        <v>9364895</v>
      </c>
    </row>
    <row r="76" spans="1:45" x14ac:dyDescent="0.35">
      <c r="A76" s="2" t="s">
        <v>233</v>
      </c>
      <c r="B76" s="3">
        <v>359539269.07999998</v>
      </c>
      <c r="C76" s="3">
        <v>103142642.26000001</v>
      </c>
      <c r="D76" s="3">
        <v>191025491.34999999</v>
      </c>
      <c r="E76" s="3">
        <v>294168133.61000001</v>
      </c>
      <c r="F76" s="3">
        <v>65371135.469999999</v>
      </c>
      <c r="G76" s="3">
        <v>26401273.899999999</v>
      </c>
      <c r="H76" s="3">
        <v>26401273.899999999</v>
      </c>
      <c r="I76" s="3">
        <v>0</v>
      </c>
      <c r="J76" s="3">
        <v>26401273.899999999</v>
      </c>
      <c r="K76" s="3">
        <v>0</v>
      </c>
      <c r="L76" s="3">
        <v>333137995.18000001</v>
      </c>
      <c r="M76" s="3">
        <v>76741368.359999999</v>
      </c>
      <c r="N76" s="3">
        <v>191025491.34999999</v>
      </c>
      <c r="O76" s="3">
        <v>267766859.71000001</v>
      </c>
      <c r="P76" s="3">
        <v>65371135.469999999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359539269.07999998</v>
      </c>
      <c r="AG76" s="3">
        <v>103142642.26000001</v>
      </c>
      <c r="AH76" s="3">
        <v>191025491.34999999</v>
      </c>
      <c r="AI76" s="3">
        <v>294168133.61000001</v>
      </c>
      <c r="AJ76" s="3">
        <v>65371135.469999999</v>
      </c>
      <c r="AK76" s="2" t="s">
        <v>234</v>
      </c>
      <c r="AL76" s="2" t="s">
        <v>235</v>
      </c>
      <c r="AM76" s="3">
        <f>VLOOKUP(AL76,Table1[],2,FALSE)</f>
        <v>93600000</v>
      </c>
      <c r="AN76" s="3">
        <f>VLOOKUP(AL76,Table1[],3,FALSE)</f>
        <v>23300000</v>
      </c>
      <c r="AO76" s="3">
        <f>VLOOKUP($AL76,Table1[],4,FALSE)</f>
        <v>70300000</v>
      </c>
      <c r="AP76" s="3">
        <f>VLOOKUP($AL76,Table1[],5,FALSE)</f>
        <v>0</v>
      </c>
      <c r="AQ76" s="3">
        <f>VLOOKUP($AL76,Table1[],6,FALSE)</f>
        <v>0</v>
      </c>
      <c r="AR76" s="3">
        <f>VLOOKUP($AL76,Table1[],7,FALSE)</f>
        <v>0</v>
      </c>
      <c r="AS76" s="3">
        <f>VLOOKUP($AL76,Table1[],8,FALSE)</f>
        <v>70300000</v>
      </c>
    </row>
    <row r="77" spans="1:45" x14ac:dyDescent="0.35">
      <c r="A77" s="2" t="s">
        <v>236</v>
      </c>
      <c r="B77" s="3">
        <v>106484901.73999999</v>
      </c>
      <c r="C77" s="3">
        <v>19073242.609999999</v>
      </c>
      <c r="D77" s="3">
        <v>37261114.740000002</v>
      </c>
      <c r="E77" s="3">
        <v>56334357.350000001</v>
      </c>
      <c r="F77" s="3">
        <v>50150544.390000001</v>
      </c>
      <c r="G77" s="3">
        <v>4753313.7699999996</v>
      </c>
      <c r="H77" s="3">
        <v>3777869.28</v>
      </c>
      <c r="I77" s="3">
        <v>0</v>
      </c>
      <c r="J77" s="3">
        <v>3777869.28</v>
      </c>
      <c r="K77" s="3">
        <v>975444.49</v>
      </c>
      <c r="L77" s="3">
        <v>101731587.97</v>
      </c>
      <c r="M77" s="3">
        <v>15295373.33</v>
      </c>
      <c r="N77" s="3">
        <v>37261114.740000002</v>
      </c>
      <c r="O77" s="3">
        <v>52556488.07</v>
      </c>
      <c r="P77" s="3">
        <v>49175099.899999999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106484901.73999999</v>
      </c>
      <c r="AG77" s="3">
        <v>19073242.609999999</v>
      </c>
      <c r="AH77" s="3">
        <v>37261114.740000002</v>
      </c>
      <c r="AI77" s="3">
        <v>56334357.350000001</v>
      </c>
      <c r="AJ77" s="3">
        <v>50150544.390000001</v>
      </c>
      <c r="AK77" s="2" t="s">
        <v>237</v>
      </c>
      <c r="AL77" s="2" t="s">
        <v>238</v>
      </c>
      <c r="AM77" s="3">
        <f>VLOOKUP(AL77,Table1[],2,FALSE)</f>
        <v>187600000</v>
      </c>
      <c r="AN77" s="3">
        <f>VLOOKUP(AL77,Table1[],3,FALSE)</f>
        <v>187600000</v>
      </c>
      <c r="AO77" s="3">
        <f>VLOOKUP($AL77,Table1[],4,FALSE)</f>
        <v>0</v>
      </c>
      <c r="AP77" s="3">
        <f>VLOOKUP($AL77,Table1[],5,FALSE)</f>
        <v>0</v>
      </c>
      <c r="AQ77" s="3">
        <f>VLOOKUP($AL77,Table1[],6,FALSE)</f>
        <v>0</v>
      </c>
      <c r="AR77" s="3">
        <f>VLOOKUP($AL77,Table1[],7,FALSE)</f>
        <v>0</v>
      </c>
      <c r="AS77" s="3">
        <f>VLOOKUP($AL77,Table1[],8,FALSE)</f>
        <v>82800000</v>
      </c>
    </row>
    <row r="78" spans="1:45" x14ac:dyDescent="0.35">
      <c r="A78" s="2" t="s">
        <v>239</v>
      </c>
      <c r="B78" s="3">
        <v>2200000</v>
      </c>
      <c r="C78" s="3">
        <v>0</v>
      </c>
      <c r="D78" s="3">
        <v>0</v>
      </c>
      <c r="E78" s="3">
        <v>0</v>
      </c>
      <c r="F78" s="3">
        <v>2200000</v>
      </c>
      <c r="G78" s="3">
        <v>2200000</v>
      </c>
      <c r="H78" s="3">
        <v>0</v>
      </c>
      <c r="I78" s="3">
        <v>0</v>
      </c>
      <c r="J78" s="3">
        <v>0</v>
      </c>
      <c r="K78" s="3">
        <v>2200000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2200000</v>
      </c>
      <c r="AG78" s="3">
        <v>0</v>
      </c>
      <c r="AH78" s="3">
        <v>0</v>
      </c>
      <c r="AI78" s="3">
        <v>0</v>
      </c>
      <c r="AJ78" s="3">
        <v>2200000</v>
      </c>
      <c r="AK78" s="2" t="s">
        <v>240</v>
      </c>
      <c r="AL78" s="2" t="s">
        <v>241</v>
      </c>
      <c r="AM78" s="3" t="e">
        <f>VLOOKUP(AL78,Table1[],2,FALSE)</f>
        <v>#N/A</v>
      </c>
      <c r="AN78" s="3" t="e">
        <f>VLOOKUP(AL78,Table1[],3,FALSE)</f>
        <v>#N/A</v>
      </c>
      <c r="AO78" s="3" t="e">
        <f>VLOOKUP($AL78,Table1[],4,FALSE)</f>
        <v>#N/A</v>
      </c>
      <c r="AP78" s="3" t="e">
        <f>VLOOKUP($AL78,Table1[],5,FALSE)</f>
        <v>#N/A</v>
      </c>
      <c r="AQ78" s="3" t="e">
        <f>VLOOKUP($AL78,Table1[],6,FALSE)</f>
        <v>#N/A</v>
      </c>
      <c r="AR78" s="3" t="e">
        <f>VLOOKUP($AL78,Table1[],7,FALSE)</f>
        <v>#N/A</v>
      </c>
      <c r="AS78" s="3" t="e">
        <f>VLOOKUP($AL78,Table1[],8,FALSE)</f>
        <v>#N/A</v>
      </c>
    </row>
    <row r="79" spans="1:45" x14ac:dyDescent="0.35">
      <c r="A79" s="2" t="s">
        <v>242</v>
      </c>
      <c r="B79" s="3">
        <v>70190919.319999993</v>
      </c>
      <c r="C79" s="3">
        <v>3267064.97</v>
      </c>
      <c r="D79" s="3">
        <v>11595603.300000001</v>
      </c>
      <c r="E79" s="3">
        <v>14862668.27</v>
      </c>
      <c r="F79" s="3">
        <v>55328251.049999997</v>
      </c>
      <c r="G79" s="3">
        <v>2005457.87</v>
      </c>
      <c r="H79" s="3">
        <v>2005457.87</v>
      </c>
      <c r="I79" s="3">
        <v>0</v>
      </c>
      <c r="J79" s="3">
        <v>2005457.87</v>
      </c>
      <c r="K79" s="3">
        <v>0</v>
      </c>
      <c r="L79" s="3">
        <v>68185461.450000003</v>
      </c>
      <c r="M79" s="3">
        <v>1261607.1000000001</v>
      </c>
      <c r="N79" s="3">
        <v>9746853.3000000007</v>
      </c>
      <c r="O79" s="3">
        <v>11008460.4</v>
      </c>
      <c r="P79" s="3">
        <v>57177001.049999997</v>
      </c>
      <c r="Q79" s="3">
        <v>0</v>
      </c>
      <c r="R79" s="3">
        <v>0</v>
      </c>
      <c r="S79" s="3">
        <v>1848750</v>
      </c>
      <c r="T79" s="3">
        <v>1848750</v>
      </c>
      <c r="U79" s="3">
        <v>-1848750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70190919.319999993</v>
      </c>
      <c r="AG79" s="3">
        <v>3267064.97</v>
      </c>
      <c r="AH79" s="3">
        <v>11595603.300000001</v>
      </c>
      <c r="AI79" s="3">
        <v>14862668.27</v>
      </c>
      <c r="AJ79" s="3">
        <v>55328251.049999997</v>
      </c>
      <c r="AK79" s="2" t="s">
        <v>243</v>
      </c>
      <c r="AL79" s="2" t="s">
        <v>244</v>
      </c>
      <c r="AM79" s="3">
        <f>VLOOKUP(AL79,Table1[],2,FALSE)</f>
        <v>129821000</v>
      </c>
      <c r="AN79" s="3">
        <f>VLOOKUP(AL79,Table1[],3,FALSE)</f>
        <v>74826000</v>
      </c>
      <c r="AO79" s="3">
        <f>VLOOKUP($AL79,Table1[],4,FALSE)</f>
        <v>54995000</v>
      </c>
      <c r="AP79" s="3">
        <f>VLOOKUP($AL79,Table1[],5,FALSE)</f>
        <v>0</v>
      </c>
      <c r="AQ79" s="3">
        <f>VLOOKUP($AL79,Table1[],6,FALSE)</f>
        <v>0</v>
      </c>
      <c r="AR79" s="3">
        <f>VLOOKUP($AL79,Table1[],7,FALSE)</f>
        <v>0</v>
      </c>
      <c r="AS79" s="3">
        <f>VLOOKUP($AL79,Table1[],8,FALSE)</f>
        <v>129821000</v>
      </c>
    </row>
    <row r="80" spans="1:45" x14ac:dyDescent="0.35">
      <c r="A80" s="2" t="s">
        <v>245</v>
      </c>
      <c r="B80" s="3">
        <v>9000000</v>
      </c>
      <c r="C80" s="3">
        <v>0</v>
      </c>
      <c r="D80" s="3">
        <v>1125600</v>
      </c>
      <c r="E80" s="3">
        <v>1125600</v>
      </c>
      <c r="F80" s="3">
        <v>7874400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9000000</v>
      </c>
      <c r="M80" s="3">
        <v>0</v>
      </c>
      <c r="N80" s="3">
        <v>1125600</v>
      </c>
      <c r="O80" s="3">
        <v>1125600</v>
      </c>
      <c r="P80" s="3">
        <v>7874400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9000000</v>
      </c>
      <c r="AG80" s="3">
        <v>0</v>
      </c>
      <c r="AH80" s="3">
        <v>1125600</v>
      </c>
      <c r="AI80" s="3">
        <v>1125600</v>
      </c>
      <c r="AJ80" s="3">
        <v>7874400</v>
      </c>
      <c r="AK80" s="2" t="s">
        <v>246</v>
      </c>
      <c r="AL80" s="2" t="s">
        <v>247</v>
      </c>
      <c r="AM80" s="3">
        <f>VLOOKUP(AL80,Table1[],2,FALSE)</f>
        <v>0</v>
      </c>
      <c r="AN80" s="3">
        <f>VLOOKUP(AL80,Table1[],3,FALSE)</f>
        <v>0</v>
      </c>
      <c r="AO80" s="3">
        <f>VLOOKUP($AL80,Table1[],4,FALSE)</f>
        <v>0</v>
      </c>
      <c r="AP80" s="3">
        <f>VLOOKUP($AL80,Table1[],5,FALSE)</f>
        <v>0</v>
      </c>
      <c r="AQ80" s="3">
        <f>VLOOKUP($AL80,Table1[],6,FALSE)</f>
        <v>0</v>
      </c>
      <c r="AR80" s="3">
        <f>VLOOKUP($AL80,Table1[],7,FALSE)</f>
        <v>0</v>
      </c>
      <c r="AS80" s="3">
        <f>VLOOKUP($AL80,Table1[],8,FALSE)</f>
        <v>9000000</v>
      </c>
    </row>
    <row r="81" spans="1:45" x14ac:dyDescent="0.35">
      <c r="A81" s="2" t="s">
        <v>248</v>
      </c>
      <c r="B81" s="3">
        <v>1337549258.0699999</v>
      </c>
      <c r="C81" s="3">
        <v>477958936.94</v>
      </c>
      <c r="D81" s="3">
        <v>746980690.03999996</v>
      </c>
      <c r="E81" s="3">
        <v>1224939626.98</v>
      </c>
      <c r="F81" s="3">
        <v>112609631.09</v>
      </c>
      <c r="G81" s="3">
        <v>168111818.47</v>
      </c>
      <c r="H81" s="3">
        <v>168111818.47</v>
      </c>
      <c r="I81" s="3">
        <v>1980984</v>
      </c>
      <c r="J81" s="3">
        <v>170092802.47</v>
      </c>
      <c r="K81" s="3">
        <v>-1980984</v>
      </c>
      <c r="L81" s="3">
        <v>1169437439.5999999</v>
      </c>
      <c r="M81" s="3">
        <v>309847118.47000003</v>
      </c>
      <c r="N81" s="3">
        <v>699373811.75999999</v>
      </c>
      <c r="O81" s="3">
        <v>1009220930.23</v>
      </c>
      <c r="P81" s="3">
        <v>160216509.37</v>
      </c>
      <c r="Q81" s="3">
        <v>0</v>
      </c>
      <c r="R81" s="3">
        <v>0</v>
      </c>
      <c r="S81" s="3">
        <v>45625894.280000001</v>
      </c>
      <c r="T81" s="3">
        <v>45625894.280000001</v>
      </c>
      <c r="U81" s="3">
        <v>-45625894.280000001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1337549258.0699999</v>
      </c>
      <c r="AG81" s="3">
        <v>477958936.94</v>
      </c>
      <c r="AH81" s="3">
        <v>746980690.03999996</v>
      </c>
      <c r="AI81" s="3">
        <v>1224939626.98</v>
      </c>
      <c r="AJ81" s="3">
        <v>112609631.09</v>
      </c>
      <c r="AK81" s="2" t="s">
        <v>249</v>
      </c>
      <c r="AL81" s="2" t="s">
        <v>250</v>
      </c>
      <c r="AM81" s="3">
        <f>VLOOKUP(AL81,Table1[],2,FALSE)</f>
        <v>2722040616</v>
      </c>
      <c r="AN81" s="3">
        <f>VLOOKUP(AL81,Table1[],3,FALSE)</f>
        <v>1701390616</v>
      </c>
      <c r="AO81" s="3">
        <f>VLOOKUP($AL81,Table1[],4,FALSE)</f>
        <v>1020650000</v>
      </c>
      <c r="AP81" s="3">
        <f>VLOOKUP($AL81,Table1[],5,FALSE)</f>
        <v>0</v>
      </c>
      <c r="AQ81" s="3">
        <f>VLOOKUP($AL81,Table1[],6,FALSE)</f>
        <v>0</v>
      </c>
      <c r="AR81" s="3">
        <f>VLOOKUP($AL81,Table1[],7,FALSE)</f>
        <v>0</v>
      </c>
      <c r="AS81" s="3">
        <f>VLOOKUP($AL81,Table1[],8,FALSE)</f>
        <v>2011390616</v>
      </c>
    </row>
    <row r="82" spans="1:45" x14ac:dyDescent="0.35">
      <c r="A82" s="2" t="s">
        <v>251</v>
      </c>
      <c r="B82" s="3">
        <v>618114786.90999997</v>
      </c>
      <c r="C82" s="3">
        <v>302550960.86000001</v>
      </c>
      <c r="D82" s="3">
        <v>115311257.8</v>
      </c>
      <c r="E82" s="3">
        <v>417862218.66000003</v>
      </c>
      <c r="F82" s="3">
        <v>200252568.25</v>
      </c>
      <c r="G82" s="3">
        <v>168565639.94999999</v>
      </c>
      <c r="H82" s="3">
        <v>168565519.43000001</v>
      </c>
      <c r="I82" s="3">
        <v>0</v>
      </c>
      <c r="J82" s="3">
        <v>168565519.43000001</v>
      </c>
      <c r="K82" s="3">
        <v>120.52</v>
      </c>
      <c r="L82" s="3">
        <v>449549146.95999998</v>
      </c>
      <c r="M82" s="3">
        <v>133985441.43000001</v>
      </c>
      <c r="N82" s="3">
        <v>95790368.459999993</v>
      </c>
      <c r="O82" s="3">
        <v>229775809.88999999</v>
      </c>
      <c r="P82" s="3">
        <v>219773337.06999999</v>
      </c>
      <c r="Q82" s="3">
        <v>0</v>
      </c>
      <c r="R82" s="3">
        <v>0</v>
      </c>
      <c r="S82" s="3">
        <v>19520889.34</v>
      </c>
      <c r="T82" s="3">
        <v>19520889.34</v>
      </c>
      <c r="U82" s="3">
        <v>-19520889.34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618114786.90999997</v>
      </c>
      <c r="AG82" s="3">
        <v>302550960.86000001</v>
      </c>
      <c r="AH82" s="3">
        <v>115311257.8</v>
      </c>
      <c r="AI82" s="3">
        <v>417862218.66000003</v>
      </c>
      <c r="AJ82" s="3">
        <v>200252568.25</v>
      </c>
      <c r="AK82" s="2" t="s">
        <v>252</v>
      </c>
      <c r="AL82" s="2" t="s">
        <v>253</v>
      </c>
      <c r="AM82" s="3">
        <f>VLOOKUP(AL82,Table1[],2,FALSE)</f>
        <v>681116786</v>
      </c>
      <c r="AN82" s="3">
        <f>VLOOKUP(AL82,Table1[],3,FALSE)</f>
        <v>681116786</v>
      </c>
      <c r="AO82" s="3">
        <f>VLOOKUP($AL82,Table1[],4,FALSE)</f>
        <v>0</v>
      </c>
      <c r="AP82" s="3">
        <f>VLOOKUP($AL82,Table1[],5,FALSE)</f>
        <v>0</v>
      </c>
      <c r="AQ82" s="3">
        <f>VLOOKUP($AL82,Table1[],6,FALSE)</f>
        <v>0</v>
      </c>
      <c r="AR82" s="3">
        <f>VLOOKUP($AL82,Table1[],7,FALSE)</f>
        <v>0</v>
      </c>
      <c r="AS82" s="3">
        <f>VLOOKUP($AL82,Table1[],8,FALSE)</f>
        <v>681116786</v>
      </c>
    </row>
    <row r="83" spans="1:45" x14ac:dyDescent="0.35">
      <c r="A83" s="2" t="s">
        <v>254</v>
      </c>
      <c r="B83" s="3">
        <v>133298173.56</v>
      </c>
      <c r="C83" s="3">
        <v>44533237.530000001</v>
      </c>
      <c r="D83" s="3">
        <v>5569891.2599999998</v>
      </c>
      <c r="E83" s="3">
        <v>50103128.789999999</v>
      </c>
      <c r="F83" s="3">
        <v>83195044.769999996</v>
      </c>
      <c r="G83" s="3">
        <v>44832805.340000004</v>
      </c>
      <c r="H83" s="3">
        <v>44533237.530000001</v>
      </c>
      <c r="I83" s="3">
        <v>0</v>
      </c>
      <c r="J83" s="3">
        <v>44533237.530000001</v>
      </c>
      <c r="K83" s="3">
        <v>299567.81</v>
      </c>
      <c r="L83" s="3">
        <v>88465368.219999999</v>
      </c>
      <c r="M83" s="3">
        <v>0</v>
      </c>
      <c r="N83" s="3">
        <v>5569891.2599999998</v>
      </c>
      <c r="O83" s="3">
        <v>5569891.2599999998</v>
      </c>
      <c r="P83" s="3">
        <v>82895476.959999993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133298173.56</v>
      </c>
      <c r="AG83" s="3">
        <v>44533237.530000001</v>
      </c>
      <c r="AH83" s="3">
        <v>5569891.2599999998</v>
      </c>
      <c r="AI83" s="3">
        <v>50103128.789999999</v>
      </c>
      <c r="AJ83" s="3">
        <v>83195044.769999996</v>
      </c>
      <c r="AK83" s="2" t="s">
        <v>255</v>
      </c>
      <c r="AL83" s="2" t="s">
        <v>256</v>
      </c>
      <c r="AM83" s="3">
        <f>VLOOKUP(AL83,Table1[],2,FALSE)</f>
        <v>180527000</v>
      </c>
      <c r="AN83" s="3">
        <f>VLOOKUP(AL83,Table1[],3,FALSE)</f>
        <v>180527000</v>
      </c>
      <c r="AO83" s="3">
        <f>VLOOKUP($AL83,Table1[],4,FALSE)</f>
        <v>0</v>
      </c>
      <c r="AP83" s="3">
        <f>VLOOKUP($AL83,Table1[],5,FALSE)</f>
        <v>0</v>
      </c>
      <c r="AQ83" s="3">
        <f>VLOOKUP($AL83,Table1[],6,FALSE)</f>
        <v>0</v>
      </c>
      <c r="AR83" s="3">
        <f>VLOOKUP($AL83,Table1[],7,FALSE)</f>
        <v>0</v>
      </c>
      <c r="AS83" s="3">
        <f>VLOOKUP($AL83,Table1[],8,FALSE)</f>
        <v>176227000</v>
      </c>
    </row>
    <row r="84" spans="1:45" x14ac:dyDescent="0.35">
      <c r="A84" s="2" t="s">
        <v>257</v>
      </c>
      <c r="B84" s="3">
        <v>10493522.5</v>
      </c>
      <c r="C84" s="3">
        <v>10493522.5</v>
      </c>
      <c r="D84" s="3">
        <v>0</v>
      </c>
      <c r="E84" s="3">
        <v>10493522.5</v>
      </c>
      <c r="F84" s="3">
        <v>0</v>
      </c>
      <c r="G84" s="3">
        <v>10493522.5</v>
      </c>
      <c r="H84" s="3">
        <v>10493522.5</v>
      </c>
      <c r="I84" s="3">
        <v>0</v>
      </c>
      <c r="J84" s="3">
        <v>10493522.5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10493522.5</v>
      </c>
      <c r="AG84" s="3">
        <v>10493522.5</v>
      </c>
      <c r="AH84" s="3">
        <v>0</v>
      </c>
      <c r="AI84" s="3">
        <v>10493522.5</v>
      </c>
      <c r="AJ84" s="3">
        <v>0</v>
      </c>
      <c r="AK84" s="2" t="s">
        <v>258</v>
      </c>
      <c r="AL84" s="2" t="s">
        <v>259</v>
      </c>
      <c r="AM84" s="3">
        <f>VLOOKUP(AL84,Table1[],2,FALSE)</f>
        <v>0</v>
      </c>
      <c r="AN84" s="3">
        <f>VLOOKUP(AL84,Table1[],3,FALSE)</f>
        <v>0</v>
      </c>
      <c r="AO84" s="3">
        <f>VLOOKUP($AL84,Table1[],4,FALSE)</f>
        <v>0</v>
      </c>
      <c r="AP84" s="3">
        <f>VLOOKUP($AL84,Table1[],5,FALSE)</f>
        <v>0</v>
      </c>
      <c r="AQ84" s="3">
        <f>VLOOKUP($AL84,Table1[],6,FALSE)</f>
        <v>0</v>
      </c>
      <c r="AR84" s="3">
        <f>VLOOKUP($AL84,Table1[],7,FALSE)</f>
        <v>0</v>
      </c>
      <c r="AS84" s="3">
        <f>VLOOKUP($AL84,Table1[],8,FALSE)</f>
        <v>6786213</v>
      </c>
    </row>
    <row r="85" spans="1:45" x14ac:dyDescent="0.35">
      <c r="A85" s="2" t="s">
        <v>260</v>
      </c>
      <c r="B85" s="3">
        <v>886702724.64999998</v>
      </c>
      <c r="C85" s="3">
        <v>130714003.94</v>
      </c>
      <c r="D85" s="3">
        <v>322835534.06999999</v>
      </c>
      <c r="E85" s="3">
        <v>453549538.00999999</v>
      </c>
      <c r="F85" s="3">
        <v>433153186.63999999</v>
      </c>
      <c r="G85" s="3">
        <v>43625666.280000001</v>
      </c>
      <c r="H85" s="3">
        <v>43625666.280000001</v>
      </c>
      <c r="I85" s="3">
        <v>27066537.219999999</v>
      </c>
      <c r="J85" s="3">
        <v>70692203.5</v>
      </c>
      <c r="K85" s="3">
        <v>-27066537.219999999</v>
      </c>
      <c r="L85" s="3">
        <v>843077058.37</v>
      </c>
      <c r="M85" s="3">
        <v>87088337.659999996</v>
      </c>
      <c r="N85" s="3">
        <v>295768996.85000002</v>
      </c>
      <c r="O85" s="3">
        <v>382857334.50999999</v>
      </c>
      <c r="P85" s="3">
        <v>460219723.86000001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886702724.64999998</v>
      </c>
      <c r="AG85" s="3">
        <v>130714003.94</v>
      </c>
      <c r="AH85" s="3">
        <v>322835534.06999999</v>
      </c>
      <c r="AI85" s="3">
        <v>453549538.00999999</v>
      </c>
      <c r="AJ85" s="3">
        <v>433153186.63999999</v>
      </c>
      <c r="AK85" s="2" t="s">
        <v>261</v>
      </c>
      <c r="AL85" s="2" t="s">
        <v>262</v>
      </c>
      <c r="AM85" s="3">
        <f>VLOOKUP(AL85,Table1[],2,FALSE)</f>
        <v>443062000</v>
      </c>
      <c r="AN85" s="3">
        <f>VLOOKUP(AL85,Table1[],3,FALSE)</f>
        <v>227005000</v>
      </c>
      <c r="AO85" s="3">
        <f>VLOOKUP($AL85,Table1[],4,FALSE)</f>
        <v>216057000</v>
      </c>
      <c r="AP85" s="3">
        <f>VLOOKUP($AL85,Table1[],5,FALSE)</f>
        <v>0</v>
      </c>
      <c r="AQ85" s="3">
        <f>VLOOKUP($AL85,Table1[],6,FALSE)</f>
        <v>0</v>
      </c>
      <c r="AR85" s="3">
        <f>VLOOKUP($AL85,Table1[],7,FALSE)</f>
        <v>0</v>
      </c>
      <c r="AS85" s="3">
        <f>VLOOKUP($AL85,Table1[],8,FALSE)</f>
        <v>442062000</v>
      </c>
    </row>
    <row r="86" spans="1:45" x14ac:dyDescent="0.35">
      <c r="A86" s="2" t="s">
        <v>263</v>
      </c>
      <c r="B86" s="3">
        <v>1013390129.0700001</v>
      </c>
      <c r="C86" s="3">
        <v>588507464.38999999</v>
      </c>
      <c r="D86" s="3">
        <v>329943583.38999999</v>
      </c>
      <c r="E86" s="3">
        <v>918451047.77999997</v>
      </c>
      <c r="F86" s="3">
        <v>94939081.290000007</v>
      </c>
      <c r="G86" s="3">
        <v>482516102.44999999</v>
      </c>
      <c r="H86" s="3">
        <v>482516102.44999999</v>
      </c>
      <c r="I86" s="3">
        <v>0</v>
      </c>
      <c r="J86" s="3">
        <v>482516102.44999999</v>
      </c>
      <c r="K86" s="3">
        <v>0</v>
      </c>
      <c r="L86" s="3">
        <v>530874026.62</v>
      </c>
      <c r="M86" s="3">
        <v>105991361.94</v>
      </c>
      <c r="N86" s="3">
        <v>329943583.38999999</v>
      </c>
      <c r="O86" s="3">
        <v>435934945.32999998</v>
      </c>
      <c r="P86" s="3">
        <v>94939081.290000007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1013390129.0700001</v>
      </c>
      <c r="AG86" s="3">
        <v>588507464.38999999</v>
      </c>
      <c r="AH86" s="3">
        <v>329943583.38999999</v>
      </c>
      <c r="AI86" s="3">
        <v>918451047.77999997</v>
      </c>
      <c r="AJ86" s="3">
        <v>94939081.290000007</v>
      </c>
      <c r="AK86" s="2" t="s">
        <v>264</v>
      </c>
      <c r="AL86" s="2" t="s">
        <v>265</v>
      </c>
      <c r="AM86" s="3">
        <f>VLOOKUP(AL86,Table1[],2,FALSE)</f>
        <v>1535600000</v>
      </c>
      <c r="AN86" s="3">
        <f>VLOOKUP(AL86,Table1[],3,FALSE)</f>
        <v>1356600000</v>
      </c>
      <c r="AO86" s="3">
        <f>VLOOKUP($AL86,Table1[],4,FALSE)</f>
        <v>179000000</v>
      </c>
      <c r="AP86" s="3">
        <f>VLOOKUP($AL86,Table1[],5,FALSE)</f>
        <v>0</v>
      </c>
      <c r="AQ86" s="3">
        <f>VLOOKUP($AL86,Table1[],6,FALSE)</f>
        <v>0</v>
      </c>
      <c r="AR86" s="3">
        <f>VLOOKUP($AL86,Table1[],7,FALSE)</f>
        <v>0</v>
      </c>
      <c r="AS86" s="3">
        <f>VLOOKUP($AL86,Table1[],8,FALSE)</f>
        <v>1566600000</v>
      </c>
    </row>
    <row r="87" spans="1:45" x14ac:dyDescent="0.35">
      <c r="A87" s="2" t="s">
        <v>266</v>
      </c>
      <c r="B87" s="3">
        <v>14036299.4</v>
      </c>
      <c r="C87" s="3">
        <v>10219233.26</v>
      </c>
      <c r="D87" s="3">
        <v>215900</v>
      </c>
      <c r="E87" s="3">
        <v>10435133.26</v>
      </c>
      <c r="F87" s="3">
        <v>3601166.14</v>
      </c>
      <c r="G87" s="3">
        <v>10219233.26</v>
      </c>
      <c r="H87" s="3">
        <v>10219233.26</v>
      </c>
      <c r="I87" s="3">
        <v>0</v>
      </c>
      <c r="J87" s="3">
        <v>10219233.26</v>
      </c>
      <c r="K87" s="3">
        <v>0</v>
      </c>
      <c r="L87" s="3">
        <v>3817066.14</v>
      </c>
      <c r="M87" s="3">
        <v>0</v>
      </c>
      <c r="N87" s="3">
        <v>215900</v>
      </c>
      <c r="O87" s="3">
        <v>215900</v>
      </c>
      <c r="P87" s="3">
        <v>3601166.14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14036299.4</v>
      </c>
      <c r="AG87" s="3">
        <v>10219233.26</v>
      </c>
      <c r="AH87" s="3">
        <v>215900</v>
      </c>
      <c r="AI87" s="3">
        <v>10435133.26</v>
      </c>
      <c r="AJ87" s="3">
        <v>3601166.14</v>
      </c>
      <c r="AK87" s="2" t="s">
        <v>267</v>
      </c>
      <c r="AL87" s="2" t="s">
        <v>268</v>
      </c>
      <c r="AM87" s="3">
        <f>VLOOKUP(AL87,Table1[],2,FALSE)</f>
        <v>16180000</v>
      </c>
      <c r="AN87" s="3">
        <f>VLOOKUP(AL87,Table1[],3,FALSE)</f>
        <v>16180000</v>
      </c>
      <c r="AO87" s="3">
        <f>VLOOKUP($AL87,Table1[],4,FALSE)</f>
        <v>0</v>
      </c>
      <c r="AP87" s="3">
        <f>VLOOKUP($AL87,Table1[],5,FALSE)</f>
        <v>0</v>
      </c>
      <c r="AQ87" s="3">
        <f>VLOOKUP($AL87,Table1[],6,FALSE)</f>
        <v>0</v>
      </c>
      <c r="AR87" s="3">
        <f>VLOOKUP($AL87,Table1[],7,FALSE)</f>
        <v>0</v>
      </c>
      <c r="AS87" s="3">
        <f>VLOOKUP($AL87,Table1[],8,FALSE)</f>
        <v>16180000</v>
      </c>
    </row>
    <row r="88" spans="1:45" x14ac:dyDescent="0.35">
      <c r="A88" s="2" t="s">
        <v>269</v>
      </c>
      <c r="B88" s="3">
        <v>25642573.379999999</v>
      </c>
      <c r="C88" s="3">
        <v>14376988.279999999</v>
      </c>
      <c r="D88" s="3">
        <v>5575827.29</v>
      </c>
      <c r="E88" s="3">
        <v>19952815.57</v>
      </c>
      <c r="F88" s="3">
        <v>5689757.8099999996</v>
      </c>
      <c r="G88" s="3">
        <v>12486301.33</v>
      </c>
      <c r="H88" s="3">
        <v>12486301.34</v>
      </c>
      <c r="I88" s="3">
        <v>970000</v>
      </c>
      <c r="J88" s="3">
        <v>13456301.34</v>
      </c>
      <c r="K88" s="3">
        <v>-970000.01</v>
      </c>
      <c r="L88" s="3">
        <v>13156272.050000001</v>
      </c>
      <c r="M88" s="3">
        <v>1890686.94</v>
      </c>
      <c r="N88" s="3">
        <v>4388027.2699999996</v>
      </c>
      <c r="O88" s="3">
        <v>6278714.21</v>
      </c>
      <c r="P88" s="3">
        <v>6877557.8399999999</v>
      </c>
      <c r="Q88" s="3">
        <v>0</v>
      </c>
      <c r="R88" s="3">
        <v>0</v>
      </c>
      <c r="S88" s="3">
        <v>217800.02</v>
      </c>
      <c r="T88" s="3">
        <v>217800.02</v>
      </c>
      <c r="U88" s="3">
        <v>-217800.02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25642573.379999999</v>
      </c>
      <c r="AG88" s="3">
        <v>14376988.279999999</v>
      </c>
      <c r="AH88" s="3">
        <v>5575827.29</v>
      </c>
      <c r="AI88" s="3">
        <v>19952815.57</v>
      </c>
      <c r="AJ88" s="3">
        <v>5689757.8099999996</v>
      </c>
      <c r="AK88" s="2" t="s">
        <v>270</v>
      </c>
      <c r="AL88" s="2" t="s">
        <v>271</v>
      </c>
      <c r="AM88" s="3">
        <f>VLOOKUP(AL88,Table1[],2,FALSE)</f>
        <v>94100006</v>
      </c>
      <c r="AN88" s="3">
        <f>VLOOKUP(AL88,Table1[],3,FALSE)</f>
        <v>94100006</v>
      </c>
      <c r="AO88" s="3">
        <f>VLOOKUP($AL88,Table1[],4,FALSE)</f>
        <v>0</v>
      </c>
      <c r="AP88" s="3">
        <f>VLOOKUP($AL88,Table1[],5,FALSE)</f>
        <v>0</v>
      </c>
      <c r="AQ88" s="3">
        <f>VLOOKUP($AL88,Table1[],6,FALSE)</f>
        <v>0</v>
      </c>
      <c r="AR88" s="3">
        <f>VLOOKUP($AL88,Table1[],7,FALSE)</f>
        <v>0</v>
      </c>
      <c r="AS88" s="3">
        <f>VLOOKUP($AL88,Table1[],8,FALSE)</f>
        <v>94100000</v>
      </c>
    </row>
    <row r="89" spans="1:45" x14ac:dyDescent="0.35">
      <c r="A89" s="2" t="s">
        <v>272</v>
      </c>
      <c r="B89" s="3">
        <v>6869461119.7299995</v>
      </c>
      <c r="C89" s="3">
        <v>2663229780.04</v>
      </c>
      <c r="D89" s="3">
        <v>2526236689.71</v>
      </c>
      <c r="E89" s="3">
        <v>5189477190.7399998</v>
      </c>
      <c r="F89" s="3">
        <v>1679983928.99</v>
      </c>
      <c r="G89" s="3">
        <v>1918756322.8399999</v>
      </c>
      <c r="H89" s="3">
        <v>1916246637.51</v>
      </c>
      <c r="I89" s="3">
        <v>19297710.969999999</v>
      </c>
      <c r="J89" s="3">
        <v>1935555069.47</v>
      </c>
      <c r="K89" s="3">
        <v>-16798746.629999999</v>
      </c>
      <c r="L89" s="3">
        <v>4950704796.8900003</v>
      </c>
      <c r="M89" s="3">
        <v>746983142.52999997</v>
      </c>
      <c r="N89" s="3">
        <v>2248465466.5799999</v>
      </c>
      <c r="O89" s="3">
        <v>2995448609.1100001</v>
      </c>
      <c r="P89" s="3">
        <v>1955256187.78</v>
      </c>
      <c r="Q89" s="3">
        <v>0</v>
      </c>
      <c r="R89" s="3">
        <v>0</v>
      </c>
      <c r="S89" s="3">
        <v>251814502.15000001</v>
      </c>
      <c r="T89" s="3">
        <v>251814502.15000001</v>
      </c>
      <c r="U89" s="3">
        <v>-251814502.15000001</v>
      </c>
      <c r="V89" s="3">
        <v>0</v>
      </c>
      <c r="W89" s="3">
        <v>0</v>
      </c>
      <c r="X89" s="3">
        <v>6659010.0099999998</v>
      </c>
      <c r="Y89" s="3">
        <v>6659010.0099999998</v>
      </c>
      <c r="Z89" s="3">
        <v>-6659010.0099999998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6869461119.7299995</v>
      </c>
      <c r="AG89" s="3">
        <v>2663229780.04</v>
      </c>
      <c r="AH89" s="3">
        <v>2526236689.71</v>
      </c>
      <c r="AI89" s="3">
        <v>5189477190.7399998</v>
      </c>
      <c r="AJ89" s="3">
        <v>1679983928.99</v>
      </c>
      <c r="AK89" s="2" t="s">
        <v>273</v>
      </c>
      <c r="AL89" s="2" t="s">
        <v>274</v>
      </c>
      <c r="AM89" s="3">
        <f>VLOOKUP(AL89,Table1[],2,FALSE)</f>
        <v>2855912771</v>
      </c>
      <c r="AN89" s="3">
        <f>VLOOKUP(AL89,Table1[],3,FALSE)</f>
        <v>0</v>
      </c>
      <c r="AO89" s="3">
        <f>VLOOKUP($AL89,Table1[],4,FALSE)</f>
        <v>2855912771</v>
      </c>
      <c r="AP89" s="3">
        <f>VLOOKUP($AL89,Table1[],5,FALSE)</f>
        <v>0</v>
      </c>
      <c r="AQ89" s="3">
        <f>VLOOKUP($AL89,Table1[],6,FALSE)</f>
        <v>0</v>
      </c>
      <c r="AR89" s="3">
        <f>VLOOKUP($AL89,Table1[],7,FALSE)</f>
        <v>0</v>
      </c>
      <c r="AS89" s="3">
        <f>VLOOKUP($AL89,Table1[],8,FALSE)</f>
        <v>2855912771</v>
      </c>
    </row>
    <row r="90" spans="1:45" x14ac:dyDescent="0.35">
      <c r="A90" s="2" t="s">
        <v>275</v>
      </c>
      <c r="B90" s="3">
        <v>9569117.9499999993</v>
      </c>
      <c r="C90" s="3">
        <v>7388063.8499999996</v>
      </c>
      <c r="D90" s="3">
        <v>26655.84</v>
      </c>
      <c r="E90" s="3">
        <v>7414719.6900000004</v>
      </c>
      <c r="F90" s="3">
        <v>2154398.2599999998</v>
      </c>
      <c r="G90" s="3">
        <v>7388063.8499999996</v>
      </c>
      <c r="H90" s="3">
        <v>7388063.8499999996</v>
      </c>
      <c r="I90" s="3">
        <v>0</v>
      </c>
      <c r="J90" s="3">
        <v>7388063.8499999996</v>
      </c>
      <c r="K90" s="3">
        <v>0</v>
      </c>
      <c r="L90" s="3">
        <v>2181054.1</v>
      </c>
      <c r="M90" s="3">
        <v>0</v>
      </c>
      <c r="N90" s="3">
        <v>26655.84</v>
      </c>
      <c r="O90" s="3">
        <v>26655.84</v>
      </c>
      <c r="P90" s="3">
        <v>2154398.2599999998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9569117.9499999993</v>
      </c>
      <c r="AG90" s="3">
        <v>7388063.8499999996</v>
      </c>
      <c r="AH90" s="3">
        <v>26655.84</v>
      </c>
      <c r="AI90" s="3">
        <v>7414719.6900000004</v>
      </c>
      <c r="AJ90" s="3">
        <v>2154398.2599999998</v>
      </c>
      <c r="AK90" s="2" t="s">
        <v>276</v>
      </c>
      <c r="AL90" s="2" t="s">
        <v>277</v>
      </c>
      <c r="AM90" s="3">
        <f>VLOOKUP(AL90,Table1[],2,FALSE)</f>
        <v>1174432</v>
      </c>
      <c r="AN90" s="3">
        <f>VLOOKUP(AL90,Table1[],3,FALSE)</f>
        <v>1174432</v>
      </c>
      <c r="AO90" s="3">
        <f>VLOOKUP($AL90,Table1[],4,FALSE)</f>
        <v>0</v>
      </c>
      <c r="AP90" s="3">
        <f>VLOOKUP($AL90,Table1[],5,FALSE)</f>
        <v>0</v>
      </c>
      <c r="AQ90" s="3">
        <f>VLOOKUP($AL90,Table1[],6,FALSE)</f>
        <v>0</v>
      </c>
      <c r="AR90" s="3">
        <f>VLOOKUP($AL90,Table1[],7,FALSE)</f>
        <v>0</v>
      </c>
      <c r="AS90" s="3">
        <f>VLOOKUP($AL90,Table1[],8,FALSE)</f>
        <v>1174432</v>
      </c>
    </row>
    <row r="91" spans="1:45" x14ac:dyDescent="0.35">
      <c r="A91" s="2" t="s">
        <v>278</v>
      </c>
      <c r="B91" s="3">
        <v>0</v>
      </c>
      <c r="C91" s="3">
        <v>0</v>
      </c>
      <c r="D91" s="3">
        <v>0</v>
      </c>
      <c r="E91" s="3">
        <v>1022012.5</v>
      </c>
      <c r="F91" s="3">
        <v>-1022012.5</v>
      </c>
      <c r="G91" s="3">
        <v>0</v>
      </c>
      <c r="H91" s="3">
        <v>0</v>
      </c>
      <c r="I91" s="3">
        <v>0</v>
      </c>
      <c r="J91" s="3">
        <v>1022012.5</v>
      </c>
      <c r="K91" s="3">
        <v>-1022012.5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1022012.5</v>
      </c>
      <c r="AJ91" s="3">
        <v>-1022012.5</v>
      </c>
      <c r="AK91" s="2" t="s">
        <v>279</v>
      </c>
      <c r="AL91" s="2" t="s">
        <v>280</v>
      </c>
      <c r="AM91" s="3">
        <f>VLOOKUP(AL91,Table1[],2,FALSE)</f>
        <v>1022013</v>
      </c>
      <c r="AN91" s="3">
        <f>VLOOKUP(AL91,Table1[],3,FALSE)</f>
        <v>1022013</v>
      </c>
      <c r="AO91" s="3">
        <f>VLOOKUP($AL91,Table1[],4,FALSE)</f>
        <v>0</v>
      </c>
      <c r="AP91" s="3">
        <f>VLOOKUP($AL91,Table1[],5,FALSE)</f>
        <v>0</v>
      </c>
      <c r="AQ91" s="3">
        <f>VLOOKUP($AL91,Table1[],6,FALSE)</f>
        <v>0</v>
      </c>
      <c r="AR91" s="3">
        <f>VLOOKUP($AL91,Table1[],7,FALSE)</f>
        <v>0</v>
      </c>
      <c r="AS91" s="3">
        <f>VLOOKUP($AL91,Table1[],8,FALSE)</f>
        <v>1022013</v>
      </c>
    </row>
    <row r="92" spans="1:45" x14ac:dyDescent="0.35">
      <c r="A92" s="2" t="s">
        <v>281</v>
      </c>
      <c r="B92" s="3">
        <v>1009817000</v>
      </c>
      <c r="C92" s="3">
        <v>746488353.22000003</v>
      </c>
      <c r="D92" s="3">
        <v>0</v>
      </c>
      <c r="E92" s="3">
        <v>746488353.22000003</v>
      </c>
      <c r="F92" s="3">
        <v>263328646.78</v>
      </c>
      <c r="G92" s="3">
        <v>1009817000</v>
      </c>
      <c r="H92" s="3">
        <v>746959873.22000003</v>
      </c>
      <c r="I92" s="3">
        <v>0</v>
      </c>
      <c r="J92" s="3">
        <v>746959873.22000003</v>
      </c>
      <c r="K92" s="3">
        <v>262857126.78</v>
      </c>
      <c r="L92" s="3">
        <v>0</v>
      </c>
      <c r="M92" s="3">
        <v>-471520</v>
      </c>
      <c r="N92" s="3">
        <v>0</v>
      </c>
      <c r="O92" s="3">
        <v>-471520</v>
      </c>
      <c r="P92" s="3">
        <v>471520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1009817000</v>
      </c>
      <c r="AG92" s="3">
        <v>746488353.22000003</v>
      </c>
      <c r="AH92" s="3">
        <v>0</v>
      </c>
      <c r="AI92" s="3">
        <v>746488353.22000003</v>
      </c>
      <c r="AJ92" s="3">
        <v>263328646.78</v>
      </c>
      <c r="AK92" s="2" t="s">
        <v>282</v>
      </c>
      <c r="AL92" s="2" t="s">
        <v>283</v>
      </c>
      <c r="AM92" s="3">
        <f>VLOOKUP(AL92,Table1[],2,FALSE)</f>
        <v>0</v>
      </c>
      <c r="AN92" s="3">
        <f>VLOOKUP(AL92,Table1[],3,FALSE)</f>
        <v>0</v>
      </c>
      <c r="AO92" s="3">
        <f>VLOOKUP($AL92,Table1[],4,FALSE)</f>
        <v>0</v>
      </c>
      <c r="AP92" s="3">
        <f>VLOOKUP($AL92,Table1[],5,FALSE)</f>
        <v>0</v>
      </c>
      <c r="AQ92" s="3">
        <f>VLOOKUP($AL92,Table1[],6,FALSE)</f>
        <v>0</v>
      </c>
      <c r="AR92" s="3">
        <f>VLOOKUP($AL92,Table1[],7,FALSE)</f>
        <v>0</v>
      </c>
      <c r="AS92" s="3">
        <f>VLOOKUP($AL92,Table1[],8,FALSE)</f>
        <v>0</v>
      </c>
    </row>
    <row r="93" spans="1:45" x14ac:dyDescent="0.35">
      <c r="A93" s="2" t="s">
        <v>284</v>
      </c>
      <c r="B93" s="3">
        <v>250000000</v>
      </c>
      <c r="C93" s="3">
        <v>4403986.96</v>
      </c>
      <c r="D93" s="3">
        <v>204157.51</v>
      </c>
      <c r="E93" s="3">
        <v>4608144.47</v>
      </c>
      <c r="F93" s="3">
        <v>245391855.53</v>
      </c>
      <c r="G93" s="3">
        <v>250000000</v>
      </c>
      <c r="H93" s="3">
        <v>4403986.96</v>
      </c>
      <c r="I93" s="3">
        <v>204157.51</v>
      </c>
      <c r="J93" s="3">
        <v>4608144.47</v>
      </c>
      <c r="K93" s="3">
        <v>245391855.53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250000000</v>
      </c>
      <c r="AG93" s="3">
        <v>4403986.96</v>
      </c>
      <c r="AH93" s="3">
        <v>204157.51</v>
      </c>
      <c r="AI93" s="3">
        <v>4608144.47</v>
      </c>
      <c r="AJ93" s="3">
        <v>245391855.53</v>
      </c>
      <c r="AK93" s="2" t="s">
        <v>285</v>
      </c>
      <c r="AL93" s="2" t="s">
        <v>286</v>
      </c>
      <c r="AM93" s="3">
        <f>VLOOKUP(AL93,Table1[],2,FALSE)</f>
        <v>7404000</v>
      </c>
      <c r="AN93" s="3">
        <f>VLOOKUP(AL93,Table1[],3,FALSE)</f>
        <v>7404000</v>
      </c>
      <c r="AO93" s="3">
        <f>VLOOKUP($AL93,Table1[],4,FALSE)</f>
        <v>0</v>
      </c>
      <c r="AP93" s="3">
        <f>VLOOKUP($AL93,Table1[],5,FALSE)</f>
        <v>0</v>
      </c>
      <c r="AQ93" s="3">
        <f>VLOOKUP($AL93,Table1[],6,FALSE)</f>
        <v>0</v>
      </c>
      <c r="AR93" s="3">
        <f>VLOOKUP($AL93,Table1[],7,FALSE)</f>
        <v>0</v>
      </c>
      <c r="AS93" s="3">
        <f>VLOOKUP($AL93,Table1[],8,FALSE)</f>
        <v>250000000</v>
      </c>
    </row>
    <row r="94" spans="1:45" x14ac:dyDescent="0.35">
      <c r="A94" s="2" t="s">
        <v>287</v>
      </c>
      <c r="B94" s="3">
        <v>20765115.43</v>
      </c>
      <c r="C94" s="3">
        <v>20400124.16</v>
      </c>
      <c r="D94" s="3">
        <v>365115.43</v>
      </c>
      <c r="E94" s="3">
        <v>20765239.59</v>
      </c>
      <c r="F94" s="3">
        <v>-124.16</v>
      </c>
      <c r="G94" s="3">
        <v>20765115.43</v>
      </c>
      <c r="H94" s="3">
        <v>20400124.16</v>
      </c>
      <c r="I94" s="3">
        <v>365115.43</v>
      </c>
      <c r="J94" s="3">
        <v>20765239.59</v>
      </c>
      <c r="K94" s="3">
        <v>-124.16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20765115.43</v>
      </c>
      <c r="AG94" s="3">
        <v>20400124.16</v>
      </c>
      <c r="AH94" s="3">
        <v>365115.43</v>
      </c>
      <c r="AI94" s="3">
        <v>20765239.59</v>
      </c>
      <c r="AJ94" s="3">
        <v>-124.16</v>
      </c>
      <c r="AK94" s="2" t="s">
        <v>288</v>
      </c>
      <c r="AL94" s="2" t="s">
        <v>289</v>
      </c>
      <c r="AM94" s="3">
        <f>VLOOKUP(AL94,Table1[],2,FALSE)</f>
        <v>4500000</v>
      </c>
      <c r="AN94" s="3">
        <f>VLOOKUP(AL94,Table1[],3,FALSE)</f>
        <v>4500000</v>
      </c>
      <c r="AO94" s="3">
        <f>VLOOKUP($AL94,Table1[],4,FALSE)</f>
        <v>0</v>
      </c>
      <c r="AP94" s="3">
        <f>VLOOKUP($AL94,Table1[],5,FALSE)</f>
        <v>0</v>
      </c>
      <c r="AQ94" s="3">
        <f>VLOOKUP($AL94,Table1[],6,FALSE)</f>
        <v>0</v>
      </c>
      <c r="AR94" s="3">
        <f>VLOOKUP($AL94,Table1[],7,FALSE)</f>
        <v>0</v>
      </c>
      <c r="AS94" s="3">
        <f>VLOOKUP($AL94,Table1[],8,FALSE)</f>
        <v>4500000</v>
      </c>
    </row>
    <row r="95" spans="1:45" x14ac:dyDescent="0.35">
      <c r="A95" s="2" t="s">
        <v>290</v>
      </c>
      <c r="B95" s="3">
        <v>1000000</v>
      </c>
      <c r="C95" s="3">
        <v>0</v>
      </c>
      <c r="D95" s="3">
        <v>0</v>
      </c>
      <c r="E95" s="3">
        <v>0</v>
      </c>
      <c r="F95" s="3">
        <v>1000000</v>
      </c>
      <c r="G95" s="3">
        <v>1000000</v>
      </c>
      <c r="H95" s="3">
        <v>0</v>
      </c>
      <c r="I95" s="3">
        <v>0</v>
      </c>
      <c r="J95" s="3">
        <v>0</v>
      </c>
      <c r="K95" s="3">
        <v>1000000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2000000</v>
      </c>
      <c r="AG95" s="3">
        <v>0</v>
      </c>
      <c r="AH95" s="3">
        <v>0</v>
      </c>
      <c r="AI95" s="3">
        <v>0</v>
      </c>
      <c r="AJ95" s="3">
        <v>2000000</v>
      </c>
      <c r="AK95" s="2" t="s">
        <v>291</v>
      </c>
      <c r="AL95" s="2" t="s">
        <v>292</v>
      </c>
      <c r="AM95" s="3" t="e">
        <f>VLOOKUP(AL95,Table1[],2,FALSE)</f>
        <v>#N/A</v>
      </c>
      <c r="AN95" s="3" t="e">
        <f>VLOOKUP(AL95,Table1[],3,FALSE)</f>
        <v>#N/A</v>
      </c>
      <c r="AO95" s="3" t="e">
        <f>VLOOKUP($AL95,Table1[],4,FALSE)</f>
        <v>#N/A</v>
      </c>
      <c r="AP95" s="3" t="e">
        <f>VLOOKUP($AL95,Table1[],5,FALSE)</f>
        <v>#N/A</v>
      </c>
      <c r="AQ95" s="3" t="e">
        <f>VLOOKUP($AL95,Table1[],6,FALSE)</f>
        <v>#N/A</v>
      </c>
      <c r="AR95" s="3" t="e">
        <f>VLOOKUP($AL95,Table1[],7,FALSE)</f>
        <v>#N/A</v>
      </c>
      <c r="AS95" s="3" t="e">
        <f>VLOOKUP($AL95,Table1[],8,FALSE)</f>
        <v>#N/A</v>
      </c>
    </row>
    <row r="96" spans="1:45" x14ac:dyDescent="0.35">
      <c r="A96" s="2" t="s">
        <v>293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2" t="s">
        <v>294</v>
      </c>
      <c r="AL96" s="2" t="s">
        <v>295</v>
      </c>
      <c r="AM96" s="3">
        <f>VLOOKUP(AL96,Table1[],2,FALSE)</f>
        <v>1040646</v>
      </c>
      <c r="AN96" s="3">
        <f>VLOOKUP(AL96,Table1[],3,FALSE)</f>
        <v>1040646</v>
      </c>
      <c r="AO96" s="3">
        <f>VLOOKUP($AL96,Table1[],4,FALSE)</f>
        <v>0</v>
      </c>
      <c r="AP96" s="3">
        <f>VLOOKUP($AL96,Table1[],5,FALSE)</f>
        <v>0</v>
      </c>
      <c r="AQ96" s="3">
        <f>VLOOKUP($AL96,Table1[],6,FALSE)</f>
        <v>0</v>
      </c>
      <c r="AR96" s="3">
        <f>VLOOKUP($AL96,Table1[],7,FALSE)</f>
        <v>0</v>
      </c>
      <c r="AS96" s="3">
        <f>VLOOKUP($AL96,Table1[],8,FALSE)</f>
        <v>1040646</v>
      </c>
    </row>
    <row r="97" spans="1:45" x14ac:dyDescent="0.35">
      <c r="A97" s="2" t="s">
        <v>296</v>
      </c>
      <c r="B97" s="3">
        <v>31000000</v>
      </c>
      <c r="C97" s="3">
        <v>27980750.530000001</v>
      </c>
      <c r="D97" s="3">
        <v>2082089.96</v>
      </c>
      <c r="E97" s="3">
        <v>30062840.489999998</v>
      </c>
      <c r="F97" s="3">
        <v>937159.51</v>
      </c>
      <c r="G97" s="3">
        <v>31000000</v>
      </c>
      <c r="H97" s="3">
        <v>27980750.530000001</v>
      </c>
      <c r="I97" s="3">
        <v>2082089.96</v>
      </c>
      <c r="J97" s="3">
        <v>30062840.489999998</v>
      </c>
      <c r="K97" s="3">
        <v>937159.51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31000000</v>
      </c>
      <c r="AG97" s="3">
        <v>27980750.530000001</v>
      </c>
      <c r="AH97" s="3">
        <v>2082089.96</v>
      </c>
      <c r="AI97" s="3">
        <v>30062840.489999998</v>
      </c>
      <c r="AJ97" s="3">
        <v>937159.51</v>
      </c>
      <c r="AK97" s="2" t="s">
        <v>297</v>
      </c>
      <c r="AL97" s="2" t="s">
        <v>298</v>
      </c>
      <c r="AM97" s="3">
        <f>VLOOKUP(AL97,Table1[],2,FALSE)</f>
        <v>0</v>
      </c>
      <c r="AN97" s="3">
        <f>VLOOKUP(AL97,Table1[],3,FALSE)</f>
        <v>0</v>
      </c>
      <c r="AO97" s="3">
        <f>VLOOKUP($AL97,Table1[],4,FALSE)</f>
        <v>0</v>
      </c>
      <c r="AP97" s="3">
        <f>VLOOKUP($AL97,Table1[],5,FALSE)</f>
        <v>0</v>
      </c>
      <c r="AQ97" s="3">
        <f>VLOOKUP($AL97,Table1[],6,FALSE)</f>
        <v>0</v>
      </c>
      <c r="AR97" s="3">
        <f>VLOOKUP($AL97,Table1[],7,FALSE)</f>
        <v>0</v>
      </c>
      <c r="AS97" s="3">
        <f>VLOOKUP($AL97,Table1[],8,FALSE)</f>
        <v>0</v>
      </c>
    </row>
    <row r="98" spans="1:45" x14ac:dyDescent="0.35">
      <c r="A98" s="2" t="s">
        <v>299</v>
      </c>
      <c r="B98" s="3">
        <v>47320000</v>
      </c>
      <c r="C98" s="3">
        <v>44806785.32</v>
      </c>
      <c r="D98" s="3">
        <v>1577826.81</v>
      </c>
      <c r="E98" s="3">
        <v>46384612.130000003</v>
      </c>
      <c r="F98" s="3">
        <v>935387.87</v>
      </c>
      <c r="G98" s="3">
        <v>47320000</v>
      </c>
      <c r="H98" s="3">
        <v>44806785.32</v>
      </c>
      <c r="I98" s="3">
        <v>1577826.81</v>
      </c>
      <c r="J98" s="3">
        <v>46384612.130000003</v>
      </c>
      <c r="K98" s="3">
        <v>935387.87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47320000</v>
      </c>
      <c r="AG98" s="3">
        <v>44806785.32</v>
      </c>
      <c r="AH98" s="3">
        <v>1577826.81</v>
      </c>
      <c r="AI98" s="3">
        <v>46384612.130000003</v>
      </c>
      <c r="AJ98" s="3">
        <v>935387.87</v>
      </c>
      <c r="AK98" s="2" t="s">
        <v>300</v>
      </c>
      <c r="AL98" s="2" t="s">
        <v>301</v>
      </c>
      <c r="AM98" s="3">
        <f>VLOOKUP(AL98,Table1[],2,FALSE)</f>
        <v>0</v>
      </c>
      <c r="AN98" s="3">
        <f>VLOOKUP(AL98,Table1[],3,FALSE)</f>
        <v>0</v>
      </c>
      <c r="AO98" s="3">
        <f>VLOOKUP($AL98,Table1[],4,FALSE)</f>
        <v>0</v>
      </c>
      <c r="AP98" s="3">
        <f>VLOOKUP($AL98,Table1[],5,FALSE)</f>
        <v>0</v>
      </c>
      <c r="AQ98" s="3">
        <f>VLOOKUP($AL98,Table1[],6,FALSE)</f>
        <v>0</v>
      </c>
      <c r="AR98" s="3">
        <f>VLOOKUP($AL98,Table1[],7,FALSE)</f>
        <v>0</v>
      </c>
      <c r="AS98" s="3">
        <f>VLOOKUP($AL98,Table1[],8,FALSE)</f>
        <v>0</v>
      </c>
    </row>
    <row r="99" spans="1:45" x14ac:dyDescent="0.35">
      <c r="A99" s="2" t="s">
        <v>302</v>
      </c>
      <c r="B99" s="3">
        <v>42020000</v>
      </c>
      <c r="C99" s="3">
        <v>38576717.950000003</v>
      </c>
      <c r="D99" s="3">
        <v>1885287.17</v>
      </c>
      <c r="E99" s="3">
        <v>40462005.119999997</v>
      </c>
      <c r="F99" s="3">
        <v>1557994.88</v>
      </c>
      <c r="G99" s="3">
        <v>42020000</v>
      </c>
      <c r="H99" s="3">
        <v>38576717.950000003</v>
      </c>
      <c r="I99" s="3">
        <v>1885287.17</v>
      </c>
      <c r="J99" s="3">
        <v>40462005.119999997</v>
      </c>
      <c r="K99" s="3">
        <v>1557994.88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42020000</v>
      </c>
      <c r="AG99" s="3">
        <v>38576717.950000003</v>
      </c>
      <c r="AH99" s="3">
        <v>1885287.17</v>
      </c>
      <c r="AI99" s="3">
        <v>40462005.119999997</v>
      </c>
      <c r="AJ99" s="3">
        <v>1557994.88</v>
      </c>
      <c r="AK99" s="2" t="s">
        <v>303</v>
      </c>
      <c r="AL99" s="2" t="s">
        <v>304</v>
      </c>
      <c r="AM99" s="3">
        <f>VLOOKUP(AL99,Table1[],2,FALSE)</f>
        <v>0</v>
      </c>
      <c r="AN99" s="3">
        <f>VLOOKUP(AL99,Table1[],3,FALSE)</f>
        <v>0</v>
      </c>
      <c r="AO99" s="3">
        <f>VLOOKUP($AL99,Table1[],4,FALSE)</f>
        <v>0</v>
      </c>
      <c r="AP99" s="3">
        <f>VLOOKUP($AL99,Table1[],5,FALSE)</f>
        <v>0</v>
      </c>
      <c r="AQ99" s="3">
        <f>VLOOKUP($AL99,Table1[],6,FALSE)</f>
        <v>0</v>
      </c>
      <c r="AR99" s="3">
        <f>VLOOKUP($AL99,Table1[],7,FALSE)</f>
        <v>0</v>
      </c>
      <c r="AS99" s="3">
        <f>VLOOKUP($AL99,Table1[],8,FALSE)</f>
        <v>0</v>
      </c>
    </row>
    <row r="100" spans="1:45" x14ac:dyDescent="0.35">
      <c r="A100" s="2" t="s">
        <v>305</v>
      </c>
      <c r="B100" s="3">
        <v>7120000</v>
      </c>
      <c r="C100" s="3">
        <v>2256610.19</v>
      </c>
      <c r="D100" s="3">
        <v>3509135.59</v>
      </c>
      <c r="E100" s="3">
        <v>5765745.7800000003</v>
      </c>
      <c r="F100" s="3">
        <v>1354254.22</v>
      </c>
      <c r="G100" s="3">
        <v>7120000</v>
      </c>
      <c r="H100" s="3">
        <v>2256610.19</v>
      </c>
      <c r="I100" s="3">
        <v>3509135.59</v>
      </c>
      <c r="J100" s="3">
        <v>5765745.7800000003</v>
      </c>
      <c r="K100" s="3">
        <v>1354254.22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7120000</v>
      </c>
      <c r="AG100" s="3">
        <v>2256610.19</v>
      </c>
      <c r="AH100" s="3">
        <v>3509135.59</v>
      </c>
      <c r="AI100" s="3">
        <v>5765745.7800000003</v>
      </c>
      <c r="AJ100" s="3">
        <v>1354254.22</v>
      </c>
      <c r="AK100" s="2" t="s">
        <v>306</v>
      </c>
      <c r="AL100" s="2" t="s">
        <v>307</v>
      </c>
      <c r="AM100" s="3">
        <f>VLOOKUP(AL100,Table1[],2,FALSE)</f>
        <v>0</v>
      </c>
      <c r="AN100" s="3">
        <f>VLOOKUP(AL100,Table1[],3,FALSE)</f>
        <v>0</v>
      </c>
      <c r="AO100" s="3">
        <f>VLOOKUP($AL100,Table1[],4,FALSE)</f>
        <v>0</v>
      </c>
      <c r="AP100" s="3">
        <f>VLOOKUP($AL100,Table1[],5,FALSE)</f>
        <v>0</v>
      </c>
      <c r="AQ100" s="3">
        <f>VLOOKUP($AL100,Table1[],6,FALSE)</f>
        <v>0</v>
      </c>
      <c r="AR100" s="3">
        <f>VLOOKUP($AL100,Table1[],7,FALSE)</f>
        <v>0</v>
      </c>
      <c r="AS100" s="3">
        <f>VLOOKUP($AL100,Table1[],8,FALSE)</f>
        <v>0</v>
      </c>
    </row>
    <row r="101" spans="1:45" x14ac:dyDescent="0.35">
      <c r="A101" s="2" t="s">
        <v>308</v>
      </c>
      <c r="B101" s="3">
        <v>28000000</v>
      </c>
      <c r="C101" s="3">
        <v>21802057.16</v>
      </c>
      <c r="D101" s="3">
        <v>0</v>
      </c>
      <c r="E101" s="3">
        <v>21802057.16</v>
      </c>
      <c r="F101" s="3">
        <v>6197942.8399999999</v>
      </c>
      <c r="G101" s="3">
        <v>28000000</v>
      </c>
      <c r="H101" s="3">
        <v>21802057.16</v>
      </c>
      <c r="I101" s="3">
        <v>0</v>
      </c>
      <c r="J101" s="3">
        <v>21802057.16</v>
      </c>
      <c r="K101" s="3">
        <v>6197942.8399999999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28000000</v>
      </c>
      <c r="AG101" s="3">
        <v>21802057.16</v>
      </c>
      <c r="AH101" s="3">
        <v>0</v>
      </c>
      <c r="AI101" s="3">
        <v>21802057.16</v>
      </c>
      <c r="AJ101" s="3">
        <v>6197942.8399999999</v>
      </c>
      <c r="AK101" s="2" t="s">
        <v>309</v>
      </c>
      <c r="AL101" s="2" t="s">
        <v>310</v>
      </c>
      <c r="AM101" s="3">
        <f>VLOOKUP(AL101,Table1[],2,FALSE)</f>
        <v>0</v>
      </c>
      <c r="AN101" s="3">
        <f>VLOOKUP(AL101,Table1[],3,FALSE)</f>
        <v>0</v>
      </c>
      <c r="AO101" s="3">
        <f>VLOOKUP($AL101,Table1[],4,FALSE)</f>
        <v>0</v>
      </c>
      <c r="AP101" s="3">
        <f>VLOOKUP($AL101,Table1[],5,FALSE)</f>
        <v>0</v>
      </c>
      <c r="AQ101" s="3">
        <f>VLOOKUP($AL101,Table1[],6,FALSE)</f>
        <v>0</v>
      </c>
      <c r="AR101" s="3">
        <f>VLOOKUP($AL101,Table1[],7,FALSE)</f>
        <v>0</v>
      </c>
      <c r="AS101" s="3">
        <f>VLOOKUP($AL101,Table1[],8,FALSE)</f>
        <v>0</v>
      </c>
    </row>
    <row r="102" spans="1:45" x14ac:dyDescent="0.35">
      <c r="A102" s="2" t="s">
        <v>311</v>
      </c>
      <c r="B102" s="3">
        <v>14000000</v>
      </c>
      <c r="C102" s="3">
        <v>10812883</v>
      </c>
      <c r="D102" s="3">
        <v>0</v>
      </c>
      <c r="E102" s="3">
        <v>10812883</v>
      </c>
      <c r="F102" s="3">
        <v>3187117</v>
      </c>
      <c r="G102" s="3">
        <v>14000000</v>
      </c>
      <c r="H102" s="3">
        <v>10812883</v>
      </c>
      <c r="I102" s="3">
        <v>0</v>
      </c>
      <c r="J102" s="3">
        <v>10812883</v>
      </c>
      <c r="K102" s="3">
        <v>3187117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14000000</v>
      </c>
      <c r="AG102" s="3">
        <v>10812883</v>
      </c>
      <c r="AH102" s="3">
        <v>0</v>
      </c>
      <c r="AI102" s="3">
        <v>10812883</v>
      </c>
      <c r="AJ102" s="3">
        <v>3187117</v>
      </c>
      <c r="AK102" s="2" t="s">
        <v>309</v>
      </c>
      <c r="AL102" s="2" t="s">
        <v>312</v>
      </c>
      <c r="AM102" s="3">
        <f>VLOOKUP(AL102,Table1[],2,FALSE)</f>
        <v>0</v>
      </c>
      <c r="AN102" s="3">
        <f>VLOOKUP(AL102,Table1[],3,FALSE)</f>
        <v>0</v>
      </c>
      <c r="AO102" s="3">
        <f>VLOOKUP($AL102,Table1[],4,FALSE)</f>
        <v>0</v>
      </c>
      <c r="AP102" s="3">
        <f>VLOOKUP($AL102,Table1[],5,FALSE)</f>
        <v>0</v>
      </c>
      <c r="AQ102" s="3">
        <f>VLOOKUP($AL102,Table1[],6,FALSE)</f>
        <v>0</v>
      </c>
      <c r="AR102" s="3">
        <f>VLOOKUP($AL102,Table1[],7,FALSE)</f>
        <v>0</v>
      </c>
      <c r="AS102" s="3">
        <f>VLOOKUP($AL102,Table1[],8,FALSE)</f>
        <v>0</v>
      </c>
    </row>
    <row r="103" spans="1:45" x14ac:dyDescent="0.35">
      <c r="A103" s="2" t="s">
        <v>313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2" t="s">
        <v>309</v>
      </c>
      <c r="AL103" s="2" t="s">
        <v>314</v>
      </c>
      <c r="AM103" s="3" t="e">
        <f>VLOOKUP(AL103,Table1[],2,FALSE)</f>
        <v>#N/A</v>
      </c>
      <c r="AN103" s="3" t="e">
        <f>VLOOKUP(AL103,Table1[],3,FALSE)</f>
        <v>#N/A</v>
      </c>
      <c r="AO103" s="3" t="e">
        <f>VLOOKUP($AL103,Table1[],4,FALSE)</f>
        <v>#N/A</v>
      </c>
      <c r="AP103" s="3" t="e">
        <f>VLOOKUP($AL103,Table1[],5,FALSE)</f>
        <v>#N/A</v>
      </c>
      <c r="AQ103" s="3" t="e">
        <f>VLOOKUP($AL103,Table1[],6,FALSE)</f>
        <v>#N/A</v>
      </c>
      <c r="AR103" s="3" t="e">
        <f>VLOOKUP($AL103,Table1[],7,FALSE)</f>
        <v>#N/A</v>
      </c>
      <c r="AS103" s="3" t="e">
        <f>VLOOKUP($AL103,Table1[],8,FALSE)</f>
        <v>#N/A</v>
      </c>
    </row>
    <row r="104" spans="1:45" x14ac:dyDescent="0.35">
      <c r="A104" s="2" t="s">
        <v>315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2" t="s">
        <v>316</v>
      </c>
      <c r="AL104" s="2" t="s">
        <v>317</v>
      </c>
      <c r="AM104" s="3" t="e">
        <f>VLOOKUP(AL104,Table1[],2,FALSE)</f>
        <v>#N/A</v>
      </c>
      <c r="AN104" s="3" t="e">
        <f>VLOOKUP(AL104,Table1[],3,FALSE)</f>
        <v>#N/A</v>
      </c>
      <c r="AO104" s="3" t="e">
        <f>VLOOKUP($AL104,Table1[],4,FALSE)</f>
        <v>#N/A</v>
      </c>
      <c r="AP104" s="3" t="e">
        <f>VLOOKUP($AL104,Table1[],5,FALSE)</f>
        <v>#N/A</v>
      </c>
      <c r="AQ104" s="3" t="e">
        <f>VLOOKUP($AL104,Table1[],6,FALSE)</f>
        <v>#N/A</v>
      </c>
      <c r="AR104" s="3" t="e">
        <f>VLOOKUP($AL104,Table1[],7,FALSE)</f>
        <v>#N/A</v>
      </c>
      <c r="AS104" s="3" t="e">
        <f>VLOOKUP($AL104,Table1[],8,FALSE)</f>
        <v>#N/A</v>
      </c>
    </row>
    <row r="105" spans="1:45" x14ac:dyDescent="0.35">
      <c r="A105" s="2" t="s">
        <v>318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2" t="s">
        <v>319</v>
      </c>
      <c r="AL105" s="2" t="s">
        <v>320</v>
      </c>
      <c r="AM105" s="3" t="e">
        <f>VLOOKUP(AL105,Table1[],2,FALSE)</f>
        <v>#N/A</v>
      </c>
      <c r="AN105" s="3" t="e">
        <f>VLOOKUP(AL105,Table1[],3,FALSE)</f>
        <v>#N/A</v>
      </c>
      <c r="AO105" s="3" t="e">
        <f>VLOOKUP($AL105,Table1[],4,FALSE)</f>
        <v>#N/A</v>
      </c>
      <c r="AP105" s="3" t="e">
        <f>VLOOKUP($AL105,Table1[],5,FALSE)</f>
        <v>#N/A</v>
      </c>
      <c r="AQ105" s="3" t="e">
        <f>VLOOKUP($AL105,Table1[],6,FALSE)</f>
        <v>#N/A</v>
      </c>
      <c r="AR105" s="3" t="e">
        <f>VLOOKUP($AL105,Table1[],7,FALSE)</f>
        <v>#N/A</v>
      </c>
      <c r="AS105" s="3" t="e">
        <f>VLOOKUP($AL105,Table1[],8,FALSE)</f>
        <v>#N/A</v>
      </c>
    </row>
    <row r="106" spans="1:45" x14ac:dyDescent="0.35">
      <c r="A106" s="2" t="s">
        <v>321</v>
      </c>
      <c r="B106" s="3">
        <v>5904000</v>
      </c>
      <c r="C106" s="3">
        <v>5833542.4900000002</v>
      </c>
      <c r="D106" s="3">
        <v>0</v>
      </c>
      <c r="E106" s="3">
        <v>5833542.4900000002</v>
      </c>
      <c r="F106" s="3">
        <v>70457.509999999995</v>
      </c>
      <c r="G106" s="3">
        <v>5904000</v>
      </c>
      <c r="H106" s="3">
        <v>5833542.4900000002</v>
      </c>
      <c r="I106" s="3">
        <v>0</v>
      </c>
      <c r="J106" s="3">
        <v>5833542.4900000002</v>
      </c>
      <c r="K106" s="3">
        <v>70457.509999999995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5904000</v>
      </c>
      <c r="AG106" s="3">
        <v>5833542.4900000002</v>
      </c>
      <c r="AH106" s="3">
        <v>0</v>
      </c>
      <c r="AI106" s="3">
        <v>5833542.4900000002</v>
      </c>
      <c r="AJ106" s="3">
        <v>70457.509999999995</v>
      </c>
      <c r="AK106" s="2" t="s">
        <v>322</v>
      </c>
      <c r="AL106" s="2" t="s">
        <v>323</v>
      </c>
      <c r="AM106" s="3">
        <f>VLOOKUP(AL106,Table1[],2,FALSE)</f>
        <v>0</v>
      </c>
      <c r="AN106" s="3">
        <f>VLOOKUP(AL106,Table1[],3,FALSE)</f>
        <v>0</v>
      </c>
      <c r="AO106" s="3">
        <f>VLOOKUP($AL106,Table1[],4,FALSE)</f>
        <v>0</v>
      </c>
      <c r="AP106" s="3">
        <f>VLOOKUP($AL106,Table1[],5,FALSE)</f>
        <v>0</v>
      </c>
      <c r="AQ106" s="3">
        <f>VLOOKUP($AL106,Table1[],6,FALSE)</f>
        <v>0</v>
      </c>
      <c r="AR106" s="3">
        <f>VLOOKUP($AL106,Table1[],7,FALSE)</f>
        <v>0</v>
      </c>
      <c r="AS106" s="3">
        <f>VLOOKUP($AL106,Table1[],8,FALSE)</f>
        <v>0</v>
      </c>
    </row>
    <row r="107" spans="1:45" x14ac:dyDescent="0.35">
      <c r="A107" s="2" t="s">
        <v>324</v>
      </c>
      <c r="B107" s="3">
        <v>220000</v>
      </c>
      <c r="C107" s="3">
        <v>220000</v>
      </c>
      <c r="D107" s="3">
        <v>0</v>
      </c>
      <c r="E107" s="3">
        <v>220000</v>
      </c>
      <c r="F107" s="3">
        <v>0</v>
      </c>
      <c r="G107" s="3">
        <v>220000</v>
      </c>
      <c r="H107" s="3">
        <v>220000</v>
      </c>
      <c r="I107" s="3">
        <v>0</v>
      </c>
      <c r="J107" s="3">
        <v>220000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220000</v>
      </c>
      <c r="AG107" s="3">
        <v>220000</v>
      </c>
      <c r="AH107" s="3">
        <v>0</v>
      </c>
      <c r="AI107" s="3">
        <v>220000</v>
      </c>
      <c r="AJ107" s="3">
        <v>0</v>
      </c>
      <c r="AK107" s="2" t="s">
        <v>325</v>
      </c>
      <c r="AL107" s="2" t="s">
        <v>326</v>
      </c>
      <c r="AM107" s="3">
        <f>VLOOKUP(AL107,Table1[],2,FALSE)</f>
        <v>0</v>
      </c>
      <c r="AN107" s="3">
        <f>VLOOKUP(AL107,Table1[],3,FALSE)</f>
        <v>0</v>
      </c>
      <c r="AO107" s="3">
        <f>VLOOKUP($AL107,Table1[],4,FALSE)</f>
        <v>0</v>
      </c>
      <c r="AP107" s="3">
        <f>VLOOKUP($AL107,Table1[],5,FALSE)</f>
        <v>0</v>
      </c>
      <c r="AQ107" s="3">
        <f>VLOOKUP($AL107,Table1[],6,FALSE)</f>
        <v>0</v>
      </c>
      <c r="AR107" s="3">
        <f>VLOOKUP($AL107,Table1[],7,FALSE)</f>
        <v>0</v>
      </c>
      <c r="AS107" s="3">
        <f>VLOOKUP($AL107,Table1[],8,FALSE)</f>
        <v>0</v>
      </c>
    </row>
    <row r="108" spans="1:45" x14ac:dyDescent="0.35">
      <c r="A108" s="2" t="s">
        <v>327</v>
      </c>
      <c r="B108" s="3">
        <v>797000</v>
      </c>
      <c r="C108" s="3">
        <v>769640.52</v>
      </c>
      <c r="D108" s="3">
        <v>0</v>
      </c>
      <c r="E108" s="3">
        <v>769640.52</v>
      </c>
      <c r="F108" s="3">
        <v>27359.48</v>
      </c>
      <c r="G108" s="3">
        <v>797000</v>
      </c>
      <c r="H108" s="3">
        <v>769640.52</v>
      </c>
      <c r="I108" s="3">
        <v>0</v>
      </c>
      <c r="J108" s="3">
        <v>769640.52</v>
      </c>
      <c r="K108" s="3">
        <v>27359.48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797000</v>
      </c>
      <c r="AG108" s="3">
        <v>769640.52</v>
      </c>
      <c r="AH108" s="3">
        <v>0</v>
      </c>
      <c r="AI108" s="3">
        <v>769640.52</v>
      </c>
      <c r="AJ108" s="3">
        <v>27359.48</v>
      </c>
      <c r="AK108" s="2" t="s">
        <v>328</v>
      </c>
      <c r="AL108" s="2" t="s">
        <v>329</v>
      </c>
      <c r="AM108" s="3">
        <f>VLOOKUP(AL108,Table1[],2,FALSE)</f>
        <v>0</v>
      </c>
      <c r="AN108" s="3">
        <f>VLOOKUP(AL108,Table1[],3,FALSE)</f>
        <v>0</v>
      </c>
      <c r="AO108" s="3">
        <f>VLOOKUP($AL108,Table1[],4,FALSE)</f>
        <v>0</v>
      </c>
      <c r="AP108" s="3">
        <f>VLOOKUP($AL108,Table1[],5,FALSE)</f>
        <v>0</v>
      </c>
      <c r="AQ108" s="3">
        <f>VLOOKUP($AL108,Table1[],6,FALSE)</f>
        <v>0</v>
      </c>
      <c r="AR108" s="3">
        <f>VLOOKUP($AL108,Table1[],7,FALSE)</f>
        <v>0</v>
      </c>
      <c r="AS108" s="3">
        <f>VLOOKUP($AL108,Table1[],8,FALSE)</f>
        <v>0</v>
      </c>
    </row>
    <row r="109" spans="1:45" x14ac:dyDescent="0.35">
      <c r="A109" s="2" t="s">
        <v>330</v>
      </c>
      <c r="B109" s="3">
        <v>110000</v>
      </c>
      <c r="C109" s="3">
        <v>109727.77</v>
      </c>
      <c r="D109" s="3">
        <v>0</v>
      </c>
      <c r="E109" s="3">
        <v>109727.77</v>
      </c>
      <c r="F109" s="3">
        <v>272.23</v>
      </c>
      <c r="G109" s="3">
        <v>110000</v>
      </c>
      <c r="H109" s="3">
        <v>109727.77</v>
      </c>
      <c r="I109" s="3">
        <v>0</v>
      </c>
      <c r="J109" s="3">
        <v>109727.77</v>
      </c>
      <c r="K109" s="3">
        <v>272.23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110000</v>
      </c>
      <c r="AG109" s="3">
        <v>109727.77</v>
      </c>
      <c r="AH109" s="3">
        <v>0</v>
      </c>
      <c r="AI109" s="3">
        <v>109727.77</v>
      </c>
      <c r="AJ109" s="3">
        <v>272.23</v>
      </c>
      <c r="AK109" s="2" t="s">
        <v>331</v>
      </c>
      <c r="AL109" s="2" t="s">
        <v>332</v>
      </c>
      <c r="AM109" s="3">
        <f>VLOOKUP(AL109,Table1[],2,FALSE)</f>
        <v>0</v>
      </c>
      <c r="AN109" s="3">
        <f>VLOOKUP(AL109,Table1[],3,FALSE)</f>
        <v>0</v>
      </c>
      <c r="AO109" s="3">
        <f>VLOOKUP($AL109,Table1[],4,FALSE)</f>
        <v>0</v>
      </c>
      <c r="AP109" s="3">
        <f>VLOOKUP($AL109,Table1[],5,FALSE)</f>
        <v>0</v>
      </c>
      <c r="AQ109" s="3">
        <f>VLOOKUP($AL109,Table1[],6,FALSE)</f>
        <v>0</v>
      </c>
      <c r="AR109" s="3">
        <f>VLOOKUP($AL109,Table1[],7,FALSE)</f>
        <v>0</v>
      </c>
      <c r="AS109" s="3">
        <f>VLOOKUP($AL109,Table1[],8,FALSE)</f>
        <v>0</v>
      </c>
    </row>
    <row r="110" spans="1:45" x14ac:dyDescent="0.35">
      <c r="A110" s="2" t="s">
        <v>333</v>
      </c>
      <c r="B110" s="3">
        <v>3220000</v>
      </c>
      <c r="C110" s="3">
        <v>3219980</v>
      </c>
      <c r="D110" s="3">
        <v>0</v>
      </c>
      <c r="E110" s="3">
        <v>3219980</v>
      </c>
      <c r="F110" s="3">
        <v>20</v>
      </c>
      <c r="G110" s="3">
        <v>3220000</v>
      </c>
      <c r="H110" s="3">
        <v>3219980</v>
      </c>
      <c r="I110" s="3">
        <v>0</v>
      </c>
      <c r="J110" s="3">
        <v>3219980</v>
      </c>
      <c r="K110" s="3">
        <v>20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3220000</v>
      </c>
      <c r="AG110" s="3">
        <v>3219980</v>
      </c>
      <c r="AH110" s="3">
        <v>0</v>
      </c>
      <c r="AI110" s="3">
        <v>3219980</v>
      </c>
      <c r="AJ110" s="3">
        <v>20</v>
      </c>
      <c r="AK110" s="2" t="s">
        <v>334</v>
      </c>
      <c r="AL110" s="2" t="s">
        <v>335</v>
      </c>
      <c r="AM110" s="3">
        <f>VLOOKUP(AL110,Table1[],2,FALSE)</f>
        <v>0</v>
      </c>
      <c r="AN110" s="3">
        <f>VLOOKUP(AL110,Table1[],3,FALSE)</f>
        <v>0</v>
      </c>
      <c r="AO110" s="3">
        <f>VLOOKUP($AL110,Table1[],4,FALSE)</f>
        <v>0</v>
      </c>
      <c r="AP110" s="3">
        <f>VLOOKUP($AL110,Table1[],5,FALSE)</f>
        <v>0</v>
      </c>
      <c r="AQ110" s="3">
        <f>VLOOKUP($AL110,Table1[],6,FALSE)</f>
        <v>0</v>
      </c>
      <c r="AR110" s="3">
        <f>VLOOKUP($AL110,Table1[],7,FALSE)</f>
        <v>0</v>
      </c>
      <c r="AS110" s="3">
        <f>VLOOKUP($AL110,Table1[],8,FALSE)</f>
        <v>0</v>
      </c>
    </row>
    <row r="111" spans="1:45" x14ac:dyDescent="0.35">
      <c r="A111" s="2" t="s">
        <v>336</v>
      </c>
      <c r="B111" s="3">
        <v>1000000</v>
      </c>
      <c r="C111" s="3">
        <v>1000000</v>
      </c>
      <c r="D111" s="3">
        <v>0</v>
      </c>
      <c r="E111" s="3">
        <v>1000000</v>
      </c>
      <c r="F111" s="3">
        <v>0</v>
      </c>
      <c r="G111" s="3">
        <v>1000000</v>
      </c>
      <c r="H111" s="3">
        <v>1000000</v>
      </c>
      <c r="I111" s="3">
        <v>0</v>
      </c>
      <c r="J111" s="3">
        <v>1000000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1000000</v>
      </c>
      <c r="AG111" s="3">
        <v>1000000</v>
      </c>
      <c r="AH111" s="3">
        <v>0</v>
      </c>
      <c r="AI111" s="3">
        <v>1000000</v>
      </c>
      <c r="AJ111" s="3">
        <v>0</v>
      </c>
      <c r="AK111" s="2" t="s">
        <v>337</v>
      </c>
      <c r="AL111" s="2" t="s">
        <v>338</v>
      </c>
      <c r="AM111" s="3">
        <f>VLOOKUP(AL111,Table1[],2,FALSE)</f>
        <v>0</v>
      </c>
      <c r="AN111" s="3">
        <f>VLOOKUP(AL111,Table1[],3,FALSE)</f>
        <v>0</v>
      </c>
      <c r="AO111" s="3">
        <f>VLOOKUP($AL111,Table1[],4,FALSE)</f>
        <v>0</v>
      </c>
      <c r="AP111" s="3">
        <f>VLOOKUP($AL111,Table1[],5,FALSE)</f>
        <v>0</v>
      </c>
      <c r="AQ111" s="3">
        <f>VLOOKUP($AL111,Table1[],6,FALSE)</f>
        <v>0</v>
      </c>
      <c r="AR111" s="3">
        <f>VLOOKUP($AL111,Table1[],7,FALSE)</f>
        <v>0</v>
      </c>
      <c r="AS111" s="3">
        <f>VLOOKUP($AL111,Table1[],8,FALSE)</f>
        <v>0</v>
      </c>
    </row>
    <row r="112" spans="1:45" x14ac:dyDescent="0.35">
      <c r="A112" s="2" t="s">
        <v>339</v>
      </c>
      <c r="B112" s="3">
        <v>6000000</v>
      </c>
      <c r="C112" s="3">
        <v>1385203.49</v>
      </c>
      <c r="D112" s="3">
        <v>1893527</v>
      </c>
      <c r="E112" s="3">
        <v>3278730.49</v>
      </c>
      <c r="F112" s="3">
        <v>2721269.51</v>
      </c>
      <c r="G112" s="3">
        <v>6000000</v>
      </c>
      <c r="H112" s="3">
        <v>1385203.49</v>
      </c>
      <c r="I112" s="3">
        <v>1893527</v>
      </c>
      <c r="J112" s="3">
        <v>3278730.49</v>
      </c>
      <c r="K112" s="3">
        <v>2721269.51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6000000</v>
      </c>
      <c r="AG112" s="3">
        <v>1385203.49</v>
      </c>
      <c r="AH112" s="3">
        <v>1893527</v>
      </c>
      <c r="AI112" s="3">
        <v>3278730.49</v>
      </c>
      <c r="AJ112" s="3">
        <v>2721269.51</v>
      </c>
      <c r="AK112" s="2" t="s">
        <v>340</v>
      </c>
      <c r="AL112" s="2" t="s">
        <v>341</v>
      </c>
      <c r="AM112" s="3">
        <f>VLOOKUP(AL112,Table1[],2,FALSE)</f>
        <v>0</v>
      </c>
      <c r="AN112" s="3">
        <f>VLOOKUP(AL112,Table1[],3,FALSE)</f>
        <v>0</v>
      </c>
      <c r="AO112" s="3">
        <f>VLOOKUP($AL112,Table1[],4,FALSE)</f>
        <v>0</v>
      </c>
      <c r="AP112" s="3">
        <f>VLOOKUP($AL112,Table1[],5,FALSE)</f>
        <v>0</v>
      </c>
      <c r="AQ112" s="3">
        <f>VLOOKUP($AL112,Table1[],6,FALSE)</f>
        <v>0</v>
      </c>
      <c r="AR112" s="3">
        <f>VLOOKUP($AL112,Table1[],7,FALSE)</f>
        <v>0</v>
      </c>
      <c r="AS112" s="3">
        <f>VLOOKUP($AL112,Table1[],8,FALSE)</f>
        <v>0</v>
      </c>
    </row>
    <row r="113" spans="1:45" x14ac:dyDescent="0.35">
      <c r="A113" s="2" t="s">
        <v>342</v>
      </c>
      <c r="B113" s="3">
        <v>20000000</v>
      </c>
      <c r="C113" s="3">
        <v>11121516.619999999</v>
      </c>
      <c r="D113" s="3">
        <v>0</v>
      </c>
      <c r="E113" s="3">
        <v>11121516.619999999</v>
      </c>
      <c r="F113" s="3">
        <v>8878483.3800000008</v>
      </c>
      <c r="G113" s="3">
        <v>20000000</v>
      </c>
      <c r="H113" s="3">
        <v>11121516.619999999</v>
      </c>
      <c r="I113" s="3">
        <v>0</v>
      </c>
      <c r="J113" s="3">
        <v>11121516.619999999</v>
      </c>
      <c r="K113" s="3">
        <v>8878483.3800000008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20000000</v>
      </c>
      <c r="AG113" s="3">
        <v>11121516.619999999</v>
      </c>
      <c r="AH113" s="3">
        <v>0</v>
      </c>
      <c r="AI113" s="3">
        <v>11121516.619999999</v>
      </c>
      <c r="AJ113" s="3">
        <v>8878483.3800000008</v>
      </c>
      <c r="AK113" s="2" t="s">
        <v>343</v>
      </c>
      <c r="AL113" s="2" t="s">
        <v>344</v>
      </c>
      <c r="AM113" s="3">
        <f>VLOOKUP(AL113,Table1[],2,FALSE)</f>
        <v>0</v>
      </c>
      <c r="AN113" s="3">
        <f>VLOOKUP(AL113,Table1[],3,FALSE)</f>
        <v>0</v>
      </c>
      <c r="AO113" s="3">
        <f>VLOOKUP($AL113,Table1[],4,FALSE)</f>
        <v>0</v>
      </c>
      <c r="AP113" s="3">
        <f>VLOOKUP($AL113,Table1[],5,FALSE)</f>
        <v>0</v>
      </c>
      <c r="AQ113" s="3">
        <f>VLOOKUP($AL113,Table1[],6,FALSE)</f>
        <v>0</v>
      </c>
      <c r="AR113" s="3">
        <f>VLOOKUP($AL113,Table1[],7,FALSE)</f>
        <v>0</v>
      </c>
      <c r="AS113" s="3">
        <f>VLOOKUP($AL113,Table1[],8,FALSE)</f>
        <v>0</v>
      </c>
    </row>
    <row r="114" spans="1:45" x14ac:dyDescent="0.35">
      <c r="A114" s="2" t="s">
        <v>345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2" t="s">
        <v>346</v>
      </c>
      <c r="AL114" s="2" t="s">
        <v>347</v>
      </c>
      <c r="AM114" s="3" t="e">
        <f>VLOOKUP(AL114,Table1[],2,FALSE)</f>
        <v>#N/A</v>
      </c>
      <c r="AN114" s="3" t="e">
        <f>VLOOKUP(AL114,Table1[],3,FALSE)</f>
        <v>#N/A</v>
      </c>
      <c r="AO114" s="3" t="e">
        <f>VLOOKUP($AL114,Table1[],4,FALSE)</f>
        <v>#N/A</v>
      </c>
      <c r="AP114" s="3" t="e">
        <f>VLOOKUP($AL114,Table1[],5,FALSE)</f>
        <v>#N/A</v>
      </c>
      <c r="AQ114" s="3" t="e">
        <f>VLOOKUP($AL114,Table1[],6,FALSE)</f>
        <v>#N/A</v>
      </c>
      <c r="AR114" s="3" t="e">
        <f>VLOOKUP($AL114,Table1[],7,FALSE)</f>
        <v>#N/A</v>
      </c>
      <c r="AS114" s="3" t="e">
        <f>VLOOKUP($AL114,Table1[],8,FALSE)</f>
        <v>#N/A</v>
      </c>
    </row>
    <row r="115" spans="1:45" x14ac:dyDescent="0.35">
      <c r="A115" s="2" t="s">
        <v>348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2" t="s">
        <v>349</v>
      </c>
      <c r="AL115" s="2" t="s">
        <v>350</v>
      </c>
      <c r="AM115" s="3" t="e">
        <f>VLOOKUP(AL115,Table1[],2,FALSE)</f>
        <v>#N/A</v>
      </c>
      <c r="AN115" s="3" t="e">
        <f>VLOOKUP(AL115,Table1[],3,FALSE)</f>
        <v>#N/A</v>
      </c>
      <c r="AO115" s="3" t="e">
        <f>VLOOKUP($AL115,Table1[],4,FALSE)</f>
        <v>#N/A</v>
      </c>
      <c r="AP115" s="3" t="e">
        <f>VLOOKUP($AL115,Table1[],5,FALSE)</f>
        <v>#N/A</v>
      </c>
      <c r="AQ115" s="3" t="e">
        <f>VLOOKUP($AL115,Table1[],6,FALSE)</f>
        <v>#N/A</v>
      </c>
      <c r="AR115" s="3" t="e">
        <f>VLOOKUP($AL115,Table1[],7,FALSE)</f>
        <v>#N/A</v>
      </c>
      <c r="AS115" s="3" t="e">
        <f>VLOOKUP($AL115,Table1[],8,FALSE)</f>
        <v>#N/A</v>
      </c>
    </row>
    <row r="116" spans="1:45" x14ac:dyDescent="0.35">
      <c r="A116" s="2" t="s">
        <v>351</v>
      </c>
      <c r="B116" s="3">
        <v>2500000</v>
      </c>
      <c r="C116" s="3">
        <v>2425160.2799999998</v>
      </c>
      <c r="D116" s="3">
        <v>0</v>
      </c>
      <c r="E116" s="3">
        <v>2425160.2799999998</v>
      </c>
      <c r="F116" s="3">
        <v>74839.72</v>
      </c>
      <c r="G116" s="3">
        <v>2500000</v>
      </c>
      <c r="H116" s="3">
        <v>2425160.2799999998</v>
      </c>
      <c r="I116" s="3">
        <v>0</v>
      </c>
      <c r="J116" s="3">
        <v>2425160.2799999998</v>
      </c>
      <c r="K116" s="3">
        <v>74839.72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2500000</v>
      </c>
      <c r="AG116" s="3">
        <v>2425160.2799999998</v>
      </c>
      <c r="AH116" s="3">
        <v>0</v>
      </c>
      <c r="AI116" s="3">
        <v>2425160.2799999998</v>
      </c>
      <c r="AJ116" s="3">
        <v>74839.72</v>
      </c>
      <c r="AK116" s="2" t="s">
        <v>352</v>
      </c>
      <c r="AL116" s="2" t="s">
        <v>353</v>
      </c>
      <c r="AM116" s="3">
        <f>VLOOKUP(AL116,Table1[],2,FALSE)</f>
        <v>0</v>
      </c>
      <c r="AN116" s="3">
        <f>VLOOKUP(AL116,Table1[],3,FALSE)</f>
        <v>0</v>
      </c>
      <c r="AO116" s="3">
        <f>VLOOKUP($AL116,Table1[],4,FALSE)</f>
        <v>0</v>
      </c>
      <c r="AP116" s="3">
        <f>VLOOKUP($AL116,Table1[],5,FALSE)</f>
        <v>0</v>
      </c>
      <c r="AQ116" s="3">
        <f>VLOOKUP($AL116,Table1[],6,FALSE)</f>
        <v>0</v>
      </c>
      <c r="AR116" s="3">
        <f>VLOOKUP($AL116,Table1[],7,FALSE)</f>
        <v>0</v>
      </c>
      <c r="AS116" s="3">
        <f>VLOOKUP($AL116,Table1[],8,FALSE)</f>
        <v>0</v>
      </c>
    </row>
    <row r="117" spans="1:45" x14ac:dyDescent="0.35">
      <c r="A117" s="2" t="s">
        <v>354</v>
      </c>
      <c r="B117" s="3">
        <v>1000000</v>
      </c>
      <c r="C117" s="3">
        <v>942278.86</v>
      </c>
      <c r="D117" s="3">
        <v>0</v>
      </c>
      <c r="E117" s="3">
        <v>942278.86</v>
      </c>
      <c r="F117" s="3">
        <v>57721.14</v>
      </c>
      <c r="G117" s="3">
        <v>1000000</v>
      </c>
      <c r="H117" s="3">
        <v>942278.86</v>
      </c>
      <c r="I117" s="3">
        <v>0</v>
      </c>
      <c r="J117" s="3">
        <v>942278.86</v>
      </c>
      <c r="K117" s="3">
        <v>57721.14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1000000</v>
      </c>
      <c r="AG117" s="3">
        <v>942278.86</v>
      </c>
      <c r="AH117" s="3">
        <v>0</v>
      </c>
      <c r="AI117" s="3">
        <v>942278.86</v>
      </c>
      <c r="AJ117" s="3">
        <v>57721.14</v>
      </c>
      <c r="AK117" s="2" t="s">
        <v>355</v>
      </c>
      <c r="AL117" s="2" t="s">
        <v>356</v>
      </c>
      <c r="AM117" s="3">
        <f>VLOOKUP(AL117,Table1[],2,FALSE)</f>
        <v>0</v>
      </c>
      <c r="AN117" s="3">
        <f>VLOOKUP(AL117,Table1[],3,FALSE)</f>
        <v>0</v>
      </c>
      <c r="AO117" s="3">
        <f>VLOOKUP($AL117,Table1[],4,FALSE)</f>
        <v>0</v>
      </c>
      <c r="AP117" s="3">
        <f>VLOOKUP($AL117,Table1[],5,FALSE)</f>
        <v>0</v>
      </c>
      <c r="AQ117" s="3">
        <f>VLOOKUP($AL117,Table1[],6,FALSE)</f>
        <v>0</v>
      </c>
      <c r="AR117" s="3">
        <f>VLOOKUP($AL117,Table1[],7,FALSE)</f>
        <v>0</v>
      </c>
      <c r="AS117" s="3">
        <f>VLOOKUP($AL117,Table1[],8,FALSE)</f>
        <v>0</v>
      </c>
    </row>
    <row r="118" spans="1:45" x14ac:dyDescent="0.35">
      <c r="A118" s="2" t="s">
        <v>357</v>
      </c>
      <c r="B118" s="3">
        <v>4000000</v>
      </c>
      <c r="C118" s="3">
        <v>2519727.84</v>
      </c>
      <c r="D118" s="3">
        <v>1173152.6599999999</v>
      </c>
      <c r="E118" s="3">
        <v>3692880.5</v>
      </c>
      <c r="F118" s="3">
        <v>307119.5</v>
      </c>
      <c r="G118" s="3">
        <v>4000000</v>
      </c>
      <c r="H118" s="3">
        <v>2519727.84</v>
      </c>
      <c r="I118" s="3">
        <v>1173152.6599999999</v>
      </c>
      <c r="J118" s="3">
        <v>3692880.5</v>
      </c>
      <c r="K118" s="3">
        <v>307119.5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4000000</v>
      </c>
      <c r="AG118" s="3">
        <v>2519727.84</v>
      </c>
      <c r="AH118" s="3">
        <v>1173152.6599999999</v>
      </c>
      <c r="AI118" s="3">
        <v>3692880.5</v>
      </c>
      <c r="AJ118" s="3">
        <v>307119.5</v>
      </c>
      <c r="AK118" s="2" t="s">
        <v>358</v>
      </c>
      <c r="AL118" s="2" t="s">
        <v>359</v>
      </c>
      <c r="AM118" s="3">
        <f>VLOOKUP(AL118,Table1[],2,FALSE)</f>
        <v>0</v>
      </c>
      <c r="AN118" s="3">
        <f>VLOOKUP(AL118,Table1[],3,FALSE)</f>
        <v>0</v>
      </c>
      <c r="AO118" s="3">
        <f>VLOOKUP($AL118,Table1[],4,FALSE)</f>
        <v>0</v>
      </c>
      <c r="AP118" s="3">
        <f>VLOOKUP($AL118,Table1[],5,FALSE)</f>
        <v>0</v>
      </c>
      <c r="AQ118" s="3">
        <f>VLOOKUP($AL118,Table1[],6,FALSE)</f>
        <v>0</v>
      </c>
      <c r="AR118" s="3">
        <f>VLOOKUP($AL118,Table1[],7,FALSE)</f>
        <v>0</v>
      </c>
      <c r="AS118" s="3">
        <f>VLOOKUP($AL118,Table1[],8,FALSE)</f>
        <v>0</v>
      </c>
    </row>
    <row r="119" spans="1:45" x14ac:dyDescent="0.35">
      <c r="A119" s="2" t="s">
        <v>360</v>
      </c>
      <c r="B119" s="3">
        <v>1750000</v>
      </c>
      <c r="C119" s="3">
        <v>1389845.6</v>
      </c>
      <c r="D119" s="3">
        <v>0</v>
      </c>
      <c r="E119" s="3">
        <v>1389845.6</v>
      </c>
      <c r="F119" s="3">
        <v>360154.4</v>
      </c>
      <c r="G119" s="3">
        <v>1750000</v>
      </c>
      <c r="H119" s="3">
        <v>1389845.6</v>
      </c>
      <c r="I119" s="3">
        <v>0</v>
      </c>
      <c r="J119" s="3">
        <v>1389845.6</v>
      </c>
      <c r="K119" s="3">
        <v>360154.4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1750000</v>
      </c>
      <c r="AG119" s="3">
        <v>1389845.6</v>
      </c>
      <c r="AH119" s="3">
        <v>0</v>
      </c>
      <c r="AI119" s="3">
        <v>1389845.6</v>
      </c>
      <c r="AJ119" s="3">
        <v>360154.4</v>
      </c>
      <c r="AK119" s="2" t="s">
        <v>361</v>
      </c>
      <c r="AL119" s="2" t="s">
        <v>362</v>
      </c>
      <c r="AM119" s="3">
        <f>VLOOKUP(AL119,Table1[],2,FALSE)</f>
        <v>0</v>
      </c>
      <c r="AN119" s="3">
        <f>VLOOKUP(AL119,Table1[],3,FALSE)</f>
        <v>0</v>
      </c>
      <c r="AO119" s="3">
        <f>VLOOKUP($AL119,Table1[],4,FALSE)</f>
        <v>0</v>
      </c>
      <c r="AP119" s="3">
        <f>VLOOKUP($AL119,Table1[],5,FALSE)</f>
        <v>0</v>
      </c>
      <c r="AQ119" s="3">
        <f>VLOOKUP($AL119,Table1[],6,FALSE)</f>
        <v>0</v>
      </c>
      <c r="AR119" s="3">
        <f>VLOOKUP($AL119,Table1[],7,FALSE)</f>
        <v>0</v>
      </c>
      <c r="AS119" s="3">
        <f>VLOOKUP($AL119,Table1[],8,FALSE)</f>
        <v>0</v>
      </c>
    </row>
    <row r="120" spans="1:45" x14ac:dyDescent="0.35">
      <c r="A120" s="2" t="s">
        <v>363</v>
      </c>
      <c r="B120" s="3">
        <v>1200000</v>
      </c>
      <c r="C120" s="3">
        <v>832583.92</v>
      </c>
      <c r="D120" s="3">
        <v>0</v>
      </c>
      <c r="E120" s="3">
        <v>832583.92</v>
      </c>
      <c r="F120" s="3">
        <v>367416.08</v>
      </c>
      <c r="G120" s="3">
        <v>1200000</v>
      </c>
      <c r="H120" s="3">
        <v>832583.92</v>
      </c>
      <c r="I120" s="3">
        <v>0</v>
      </c>
      <c r="J120" s="3">
        <v>832583.92</v>
      </c>
      <c r="K120" s="3">
        <v>367416.08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1200000</v>
      </c>
      <c r="AG120" s="3">
        <v>832583.92</v>
      </c>
      <c r="AH120" s="3">
        <v>0</v>
      </c>
      <c r="AI120" s="3">
        <v>832583.92</v>
      </c>
      <c r="AJ120" s="3">
        <v>367416.08</v>
      </c>
      <c r="AK120" s="2" t="s">
        <v>364</v>
      </c>
      <c r="AL120" s="2" t="s">
        <v>365</v>
      </c>
      <c r="AM120" s="3">
        <f>VLOOKUP(AL120,Table1[],2,FALSE)</f>
        <v>0</v>
      </c>
      <c r="AN120" s="3">
        <f>VLOOKUP(AL120,Table1[],3,FALSE)</f>
        <v>0</v>
      </c>
      <c r="AO120" s="3">
        <f>VLOOKUP($AL120,Table1[],4,FALSE)</f>
        <v>0</v>
      </c>
      <c r="AP120" s="3">
        <f>VLOOKUP($AL120,Table1[],5,FALSE)</f>
        <v>0</v>
      </c>
      <c r="AQ120" s="3">
        <f>VLOOKUP($AL120,Table1[],6,FALSE)</f>
        <v>0</v>
      </c>
      <c r="AR120" s="3">
        <f>VLOOKUP($AL120,Table1[],7,FALSE)</f>
        <v>0</v>
      </c>
      <c r="AS120" s="3">
        <f>VLOOKUP($AL120,Table1[],8,FALSE)</f>
        <v>0</v>
      </c>
    </row>
    <row r="121" spans="1:45" x14ac:dyDescent="0.35">
      <c r="A121" s="2" t="s">
        <v>366</v>
      </c>
      <c r="B121" s="3">
        <v>350000</v>
      </c>
      <c r="C121" s="3">
        <v>162903.1</v>
      </c>
      <c r="D121" s="3">
        <v>0</v>
      </c>
      <c r="E121" s="3">
        <v>162903.1</v>
      </c>
      <c r="F121" s="3">
        <v>187096.9</v>
      </c>
      <c r="G121" s="3">
        <v>350000</v>
      </c>
      <c r="H121" s="3">
        <v>162903.1</v>
      </c>
      <c r="I121" s="3">
        <v>0</v>
      </c>
      <c r="J121" s="3">
        <v>162903.1</v>
      </c>
      <c r="K121" s="3">
        <v>187096.9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350000</v>
      </c>
      <c r="AG121" s="3">
        <v>162903.1</v>
      </c>
      <c r="AH121" s="3">
        <v>0</v>
      </c>
      <c r="AI121" s="3">
        <v>162903.1</v>
      </c>
      <c r="AJ121" s="3">
        <v>187096.9</v>
      </c>
      <c r="AK121" s="2" t="s">
        <v>367</v>
      </c>
      <c r="AL121" s="2" t="s">
        <v>368</v>
      </c>
      <c r="AM121" s="3">
        <f>VLOOKUP(AL121,Table1[],2,FALSE)</f>
        <v>0</v>
      </c>
      <c r="AN121" s="3">
        <f>VLOOKUP(AL121,Table1[],3,FALSE)</f>
        <v>0</v>
      </c>
      <c r="AO121" s="3">
        <f>VLOOKUP($AL121,Table1[],4,FALSE)</f>
        <v>0</v>
      </c>
      <c r="AP121" s="3">
        <f>VLOOKUP($AL121,Table1[],5,FALSE)</f>
        <v>0</v>
      </c>
      <c r="AQ121" s="3">
        <f>VLOOKUP($AL121,Table1[],6,FALSE)</f>
        <v>0</v>
      </c>
      <c r="AR121" s="3">
        <f>VLOOKUP($AL121,Table1[],7,FALSE)</f>
        <v>0</v>
      </c>
      <c r="AS121" s="3">
        <f>VLOOKUP($AL121,Table1[],8,FALSE)</f>
        <v>0</v>
      </c>
    </row>
    <row r="122" spans="1:45" x14ac:dyDescent="0.35">
      <c r="A122" s="2" t="s">
        <v>369</v>
      </c>
      <c r="B122" s="3">
        <v>15000000</v>
      </c>
      <c r="C122" s="3">
        <v>1404091.16</v>
      </c>
      <c r="D122" s="3">
        <v>11950961.6</v>
      </c>
      <c r="E122" s="3">
        <v>13355052.76</v>
      </c>
      <c r="F122" s="3">
        <v>1644947.24</v>
      </c>
      <c r="G122" s="3">
        <v>15000000</v>
      </c>
      <c r="H122" s="3">
        <v>1404091.16</v>
      </c>
      <c r="I122" s="3">
        <v>11950961.6</v>
      </c>
      <c r="J122" s="3">
        <v>13355052.76</v>
      </c>
      <c r="K122" s="3">
        <v>1644947.24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15000000</v>
      </c>
      <c r="AG122" s="3">
        <v>1404091.16</v>
      </c>
      <c r="AH122" s="3">
        <v>11950961.6</v>
      </c>
      <c r="AI122" s="3">
        <v>13355052.76</v>
      </c>
      <c r="AJ122" s="3">
        <v>1644947.24</v>
      </c>
      <c r="AK122" s="2" t="s">
        <v>370</v>
      </c>
      <c r="AL122" s="2" t="s">
        <v>371</v>
      </c>
      <c r="AM122" s="3">
        <f>VLOOKUP(AL122,Table1[],2,FALSE)</f>
        <v>0</v>
      </c>
      <c r="AN122" s="3">
        <f>VLOOKUP(AL122,Table1[],3,FALSE)</f>
        <v>0</v>
      </c>
      <c r="AO122" s="3">
        <f>VLOOKUP($AL122,Table1[],4,FALSE)</f>
        <v>0</v>
      </c>
      <c r="AP122" s="3">
        <f>VLOOKUP($AL122,Table1[],5,FALSE)</f>
        <v>0</v>
      </c>
      <c r="AQ122" s="3">
        <f>VLOOKUP($AL122,Table1[],6,FALSE)</f>
        <v>0</v>
      </c>
      <c r="AR122" s="3">
        <f>VLOOKUP($AL122,Table1[],7,FALSE)</f>
        <v>0</v>
      </c>
      <c r="AS122" s="3">
        <f>VLOOKUP($AL122,Table1[],8,FALSE)</f>
        <v>0</v>
      </c>
    </row>
    <row r="123" spans="1:45" x14ac:dyDescent="0.35">
      <c r="A123" s="2" t="s">
        <v>372</v>
      </c>
      <c r="B123" s="3">
        <v>12000000</v>
      </c>
      <c r="C123" s="3">
        <v>0</v>
      </c>
      <c r="D123" s="3">
        <v>0</v>
      </c>
      <c r="E123" s="3">
        <v>0</v>
      </c>
      <c r="F123" s="3">
        <v>12000000</v>
      </c>
      <c r="G123" s="3">
        <v>12000000</v>
      </c>
      <c r="H123" s="3">
        <v>0</v>
      </c>
      <c r="I123" s="3">
        <v>0</v>
      </c>
      <c r="J123" s="3">
        <v>0</v>
      </c>
      <c r="K123" s="3">
        <v>12000000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12000000</v>
      </c>
      <c r="AG123" s="3">
        <v>0</v>
      </c>
      <c r="AH123" s="3">
        <v>0</v>
      </c>
      <c r="AI123" s="3">
        <v>0</v>
      </c>
      <c r="AJ123" s="3">
        <v>12000000</v>
      </c>
      <c r="AK123" s="2" t="s">
        <v>373</v>
      </c>
      <c r="AL123" s="2" t="s">
        <v>374</v>
      </c>
      <c r="AM123" s="3" t="e">
        <f>VLOOKUP(AL123,Table1[],2,FALSE)</f>
        <v>#N/A</v>
      </c>
      <c r="AN123" s="3" t="e">
        <f>VLOOKUP(AL123,Table1[],3,FALSE)</f>
        <v>#N/A</v>
      </c>
      <c r="AO123" s="3" t="e">
        <f>VLOOKUP($AL123,Table1[],4,FALSE)</f>
        <v>#N/A</v>
      </c>
      <c r="AP123" s="3" t="e">
        <f>VLOOKUP($AL123,Table1[],5,FALSE)</f>
        <v>#N/A</v>
      </c>
      <c r="AQ123" s="3" t="e">
        <f>VLOOKUP($AL123,Table1[],6,FALSE)</f>
        <v>#N/A</v>
      </c>
      <c r="AR123" s="3" t="e">
        <f>VLOOKUP($AL123,Table1[],7,FALSE)</f>
        <v>#N/A</v>
      </c>
      <c r="AS123" s="3" t="e">
        <f>VLOOKUP($AL123,Table1[],8,FALSE)</f>
        <v>#N/A</v>
      </c>
    </row>
    <row r="124" spans="1:45" x14ac:dyDescent="0.35">
      <c r="A124" s="2" t="s">
        <v>375</v>
      </c>
      <c r="B124" s="3">
        <v>200000</v>
      </c>
      <c r="C124" s="3">
        <v>199953.12</v>
      </c>
      <c r="D124" s="3">
        <v>0</v>
      </c>
      <c r="E124" s="3">
        <v>199953.12</v>
      </c>
      <c r="F124" s="3">
        <v>46.88</v>
      </c>
      <c r="G124" s="3">
        <v>200000</v>
      </c>
      <c r="H124" s="3">
        <v>199953.12</v>
      </c>
      <c r="I124" s="3">
        <v>0</v>
      </c>
      <c r="J124" s="3">
        <v>199953.12</v>
      </c>
      <c r="K124" s="3">
        <v>46.88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200000</v>
      </c>
      <c r="AG124" s="3">
        <v>199953.12</v>
      </c>
      <c r="AH124" s="3">
        <v>0</v>
      </c>
      <c r="AI124" s="3">
        <v>199953.12</v>
      </c>
      <c r="AJ124" s="3">
        <v>46.88</v>
      </c>
      <c r="AK124" s="2" t="s">
        <v>376</v>
      </c>
      <c r="AL124" s="2" t="s">
        <v>377</v>
      </c>
      <c r="AM124" s="3">
        <f>VLOOKUP(AL124,Table1[],2,FALSE)</f>
        <v>0</v>
      </c>
      <c r="AN124" s="3">
        <f>VLOOKUP(AL124,Table1[],3,FALSE)</f>
        <v>0</v>
      </c>
      <c r="AO124" s="3">
        <f>VLOOKUP($AL124,Table1[],4,FALSE)</f>
        <v>0</v>
      </c>
      <c r="AP124" s="3">
        <f>VLOOKUP($AL124,Table1[],5,FALSE)</f>
        <v>0</v>
      </c>
      <c r="AQ124" s="3">
        <f>VLOOKUP($AL124,Table1[],6,FALSE)</f>
        <v>0</v>
      </c>
      <c r="AR124" s="3">
        <f>VLOOKUP($AL124,Table1[],7,FALSE)</f>
        <v>0</v>
      </c>
      <c r="AS124" s="3">
        <f>VLOOKUP($AL124,Table1[],8,FALSE)</f>
        <v>0</v>
      </c>
    </row>
    <row r="125" spans="1:45" x14ac:dyDescent="0.35">
      <c r="A125" s="2" t="s">
        <v>378</v>
      </c>
      <c r="B125" s="3">
        <v>300000</v>
      </c>
      <c r="C125" s="3">
        <v>291100</v>
      </c>
      <c r="D125" s="3">
        <v>0</v>
      </c>
      <c r="E125" s="3">
        <v>291100</v>
      </c>
      <c r="F125" s="3">
        <v>8900</v>
      </c>
      <c r="G125" s="3">
        <v>300000</v>
      </c>
      <c r="H125" s="3">
        <v>291100</v>
      </c>
      <c r="I125" s="3">
        <v>0</v>
      </c>
      <c r="J125" s="3">
        <v>291100</v>
      </c>
      <c r="K125" s="3">
        <v>8900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300000</v>
      </c>
      <c r="AG125" s="3">
        <v>291100</v>
      </c>
      <c r="AH125" s="3">
        <v>0</v>
      </c>
      <c r="AI125" s="3">
        <v>291100</v>
      </c>
      <c r="AJ125" s="3">
        <v>8900</v>
      </c>
      <c r="AK125" s="2" t="s">
        <v>379</v>
      </c>
      <c r="AL125" s="2" t="s">
        <v>380</v>
      </c>
      <c r="AM125" s="3">
        <f>VLOOKUP(AL125,Table1[],2,FALSE)</f>
        <v>0</v>
      </c>
      <c r="AN125" s="3">
        <f>VLOOKUP(AL125,Table1[],3,FALSE)</f>
        <v>0</v>
      </c>
      <c r="AO125" s="3">
        <f>VLOOKUP($AL125,Table1[],4,FALSE)</f>
        <v>0</v>
      </c>
      <c r="AP125" s="3">
        <f>VLOOKUP($AL125,Table1[],5,FALSE)</f>
        <v>0</v>
      </c>
      <c r="AQ125" s="3">
        <f>VLOOKUP($AL125,Table1[],6,FALSE)</f>
        <v>0</v>
      </c>
      <c r="AR125" s="3">
        <f>VLOOKUP($AL125,Table1[],7,FALSE)</f>
        <v>0</v>
      </c>
      <c r="AS125" s="3">
        <f>VLOOKUP($AL125,Table1[],8,FALSE)</f>
        <v>0</v>
      </c>
    </row>
    <row r="126" spans="1:45" x14ac:dyDescent="0.35">
      <c r="A126" s="2" t="s">
        <v>381</v>
      </c>
      <c r="B126" s="3">
        <v>23800000</v>
      </c>
      <c r="C126" s="3">
        <v>13093566.43</v>
      </c>
      <c r="D126" s="3">
        <v>0</v>
      </c>
      <c r="E126" s="3">
        <v>13093566.43</v>
      </c>
      <c r="F126" s="3">
        <v>10706433.57</v>
      </c>
      <c r="G126" s="3">
        <v>23800000</v>
      </c>
      <c r="H126" s="3">
        <v>13093566.43</v>
      </c>
      <c r="I126" s="3">
        <v>0</v>
      </c>
      <c r="J126" s="3">
        <v>13093566.43</v>
      </c>
      <c r="K126" s="3">
        <v>10706433.57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23800000</v>
      </c>
      <c r="AG126" s="3">
        <v>13093566.43</v>
      </c>
      <c r="AH126" s="3">
        <v>0</v>
      </c>
      <c r="AI126" s="3">
        <v>13093566.43</v>
      </c>
      <c r="AJ126" s="3">
        <v>10706433.57</v>
      </c>
      <c r="AK126" s="2" t="s">
        <v>382</v>
      </c>
      <c r="AL126" s="2" t="s">
        <v>383</v>
      </c>
      <c r="AM126" s="3">
        <f>VLOOKUP(AL126,Table1[],2,FALSE)</f>
        <v>0</v>
      </c>
      <c r="AN126" s="3">
        <f>VLOOKUP(AL126,Table1[],3,FALSE)</f>
        <v>0</v>
      </c>
      <c r="AO126" s="3">
        <f>VLOOKUP($AL126,Table1[],4,FALSE)</f>
        <v>0</v>
      </c>
      <c r="AP126" s="3">
        <f>VLOOKUP($AL126,Table1[],5,FALSE)</f>
        <v>0</v>
      </c>
      <c r="AQ126" s="3">
        <f>VLOOKUP($AL126,Table1[],6,FALSE)</f>
        <v>0</v>
      </c>
      <c r="AR126" s="3">
        <f>VLOOKUP($AL126,Table1[],7,FALSE)</f>
        <v>0</v>
      </c>
      <c r="AS126" s="3">
        <f>VLOOKUP($AL126,Table1[],8,FALSE)</f>
        <v>0</v>
      </c>
    </row>
    <row r="127" spans="1:45" x14ac:dyDescent="0.35">
      <c r="A127" s="2" t="s">
        <v>384</v>
      </c>
      <c r="B127" s="3">
        <v>2000000</v>
      </c>
      <c r="C127" s="3">
        <v>455621.64</v>
      </c>
      <c r="D127" s="3">
        <v>1287847.3799999999</v>
      </c>
      <c r="E127" s="3">
        <v>1743469.02</v>
      </c>
      <c r="F127" s="3">
        <v>256530.98</v>
      </c>
      <c r="G127" s="3">
        <v>2000000</v>
      </c>
      <c r="H127" s="3">
        <v>455621.64</v>
      </c>
      <c r="I127" s="3">
        <v>1287847.3799999999</v>
      </c>
      <c r="J127" s="3">
        <v>1743469.02</v>
      </c>
      <c r="K127" s="3">
        <v>256530.98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2000000</v>
      </c>
      <c r="AG127" s="3">
        <v>455621.64</v>
      </c>
      <c r="AH127" s="3">
        <v>1287847.3799999999</v>
      </c>
      <c r="AI127" s="3">
        <v>1743469.02</v>
      </c>
      <c r="AJ127" s="3">
        <v>256530.98</v>
      </c>
      <c r="AK127" s="2" t="s">
        <v>385</v>
      </c>
      <c r="AL127" s="2" t="s">
        <v>386</v>
      </c>
      <c r="AM127" s="3">
        <f>VLOOKUP(AL127,Table1[],2,FALSE)</f>
        <v>0</v>
      </c>
      <c r="AN127" s="3">
        <f>VLOOKUP(AL127,Table1[],3,FALSE)</f>
        <v>0</v>
      </c>
      <c r="AO127" s="3">
        <f>VLOOKUP($AL127,Table1[],4,FALSE)</f>
        <v>0</v>
      </c>
      <c r="AP127" s="3">
        <f>VLOOKUP($AL127,Table1[],5,FALSE)</f>
        <v>0</v>
      </c>
      <c r="AQ127" s="3">
        <f>VLOOKUP($AL127,Table1[],6,FALSE)</f>
        <v>0</v>
      </c>
      <c r="AR127" s="3">
        <f>VLOOKUP($AL127,Table1[],7,FALSE)</f>
        <v>0</v>
      </c>
      <c r="AS127" s="3">
        <f>VLOOKUP($AL127,Table1[],8,FALSE)</f>
        <v>0</v>
      </c>
    </row>
    <row r="128" spans="1:45" x14ac:dyDescent="0.35">
      <c r="A128" s="2" t="s">
        <v>387</v>
      </c>
      <c r="B128" s="3">
        <v>118981000</v>
      </c>
      <c r="C128" s="3">
        <v>43624950</v>
      </c>
      <c r="D128" s="3">
        <v>75356050</v>
      </c>
      <c r="E128" s="3">
        <v>118981000</v>
      </c>
      <c r="F128" s="3">
        <v>0</v>
      </c>
      <c r="G128" s="3">
        <v>118981000</v>
      </c>
      <c r="H128" s="3">
        <v>43624950</v>
      </c>
      <c r="I128" s="3">
        <v>75356050</v>
      </c>
      <c r="J128" s="3">
        <v>118981000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118981000</v>
      </c>
      <c r="AG128" s="3">
        <v>43624950</v>
      </c>
      <c r="AH128" s="3">
        <v>75356050</v>
      </c>
      <c r="AI128" s="3">
        <v>118981000</v>
      </c>
      <c r="AJ128" s="3">
        <v>0</v>
      </c>
      <c r="AK128" s="2" t="s">
        <v>388</v>
      </c>
      <c r="AL128" s="2" t="s">
        <v>389</v>
      </c>
      <c r="AM128" s="3">
        <f>VLOOKUP(AL128,Table1[],2,FALSE)</f>
        <v>0</v>
      </c>
      <c r="AN128" s="3">
        <f>VLOOKUP(AL128,Table1[],3,FALSE)</f>
        <v>0</v>
      </c>
      <c r="AO128" s="3">
        <f>VLOOKUP($AL128,Table1[],4,FALSE)</f>
        <v>0</v>
      </c>
      <c r="AP128" s="3">
        <f>VLOOKUP($AL128,Table1[],5,FALSE)</f>
        <v>0</v>
      </c>
      <c r="AQ128" s="3">
        <f>VLOOKUP($AL128,Table1[],6,FALSE)</f>
        <v>0</v>
      </c>
      <c r="AR128" s="3">
        <f>VLOOKUP($AL128,Table1[],7,FALSE)</f>
        <v>0</v>
      </c>
      <c r="AS128" s="3">
        <f>VLOOKUP($AL128,Table1[],8,FALSE)</f>
        <v>0</v>
      </c>
    </row>
    <row r="129" spans="1:45" x14ac:dyDescent="0.35">
      <c r="A129" s="2" t="s">
        <v>390</v>
      </c>
      <c r="B129" s="3">
        <v>8150000</v>
      </c>
      <c r="C129" s="3">
        <v>7074958.25</v>
      </c>
      <c r="D129" s="3">
        <v>547910.74</v>
      </c>
      <c r="E129" s="3">
        <v>7622868.9900000002</v>
      </c>
      <c r="F129" s="3">
        <v>527131.01</v>
      </c>
      <c r="G129" s="3">
        <v>8150000</v>
      </c>
      <c r="H129" s="3">
        <v>7074958.25</v>
      </c>
      <c r="I129" s="3">
        <v>547910.74</v>
      </c>
      <c r="J129" s="3">
        <v>7622868.9900000002</v>
      </c>
      <c r="K129" s="3">
        <v>527131.01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8150000</v>
      </c>
      <c r="AG129" s="3">
        <v>7074958.25</v>
      </c>
      <c r="AH129" s="3">
        <v>547910.74</v>
      </c>
      <c r="AI129" s="3">
        <v>7622868.9900000002</v>
      </c>
      <c r="AJ129" s="3">
        <v>527131.01</v>
      </c>
      <c r="AK129" s="2" t="s">
        <v>391</v>
      </c>
      <c r="AL129" s="2" t="s">
        <v>392</v>
      </c>
      <c r="AM129" s="3">
        <f>VLOOKUP(AL129,Table1[],2,FALSE)</f>
        <v>0</v>
      </c>
      <c r="AN129" s="3">
        <f>VLOOKUP(AL129,Table1[],3,FALSE)</f>
        <v>0</v>
      </c>
      <c r="AO129" s="3">
        <f>VLOOKUP($AL129,Table1[],4,FALSE)</f>
        <v>0</v>
      </c>
      <c r="AP129" s="3">
        <f>VLOOKUP($AL129,Table1[],5,FALSE)</f>
        <v>0</v>
      </c>
      <c r="AQ129" s="3">
        <f>VLOOKUP($AL129,Table1[],6,FALSE)</f>
        <v>0</v>
      </c>
      <c r="AR129" s="3">
        <f>VLOOKUP($AL129,Table1[],7,FALSE)</f>
        <v>0</v>
      </c>
      <c r="AS129" s="3">
        <f>VLOOKUP($AL129,Table1[],8,FALSE)</f>
        <v>0</v>
      </c>
    </row>
    <row r="130" spans="1:45" x14ac:dyDescent="0.35">
      <c r="A130" s="2" t="s">
        <v>393</v>
      </c>
      <c r="B130" s="3">
        <v>6430000</v>
      </c>
      <c r="C130" s="3">
        <v>2433647.9</v>
      </c>
      <c r="D130" s="3">
        <v>97468</v>
      </c>
      <c r="E130" s="3">
        <v>2531115.9</v>
      </c>
      <c r="F130" s="3">
        <v>3898884.1</v>
      </c>
      <c r="G130" s="3">
        <v>6430000</v>
      </c>
      <c r="H130" s="3">
        <v>2433647.9</v>
      </c>
      <c r="I130" s="3">
        <v>97468</v>
      </c>
      <c r="J130" s="3">
        <v>2531115.9</v>
      </c>
      <c r="K130" s="3">
        <v>3898884.1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6430000</v>
      </c>
      <c r="AG130" s="3">
        <v>2433647.9</v>
      </c>
      <c r="AH130" s="3">
        <v>97468</v>
      </c>
      <c r="AI130" s="3">
        <v>2531115.9</v>
      </c>
      <c r="AJ130" s="3">
        <v>3898884.1</v>
      </c>
      <c r="AK130" s="2" t="s">
        <v>394</v>
      </c>
      <c r="AL130" s="2" t="s">
        <v>395</v>
      </c>
      <c r="AM130" s="3">
        <f>VLOOKUP(AL130,Table1[],2,FALSE)</f>
        <v>0</v>
      </c>
      <c r="AN130" s="3">
        <f>VLOOKUP(AL130,Table1[],3,FALSE)</f>
        <v>0</v>
      </c>
      <c r="AO130" s="3">
        <f>VLOOKUP($AL130,Table1[],4,FALSE)</f>
        <v>0</v>
      </c>
      <c r="AP130" s="3">
        <f>VLOOKUP($AL130,Table1[],5,FALSE)</f>
        <v>0</v>
      </c>
      <c r="AQ130" s="3">
        <f>VLOOKUP($AL130,Table1[],6,FALSE)</f>
        <v>0</v>
      </c>
      <c r="AR130" s="3">
        <f>VLOOKUP($AL130,Table1[],7,FALSE)</f>
        <v>0</v>
      </c>
      <c r="AS130" s="3">
        <f>VLOOKUP($AL130,Table1[],8,FALSE)</f>
        <v>0</v>
      </c>
    </row>
    <row r="131" spans="1:45" x14ac:dyDescent="0.35">
      <c r="A131" s="2" t="s">
        <v>396</v>
      </c>
      <c r="B131" s="3">
        <v>200000</v>
      </c>
      <c r="C131" s="3">
        <v>199912.27</v>
      </c>
      <c r="D131" s="3">
        <v>0</v>
      </c>
      <c r="E131" s="3">
        <v>199912.27</v>
      </c>
      <c r="F131" s="3">
        <v>87.73</v>
      </c>
      <c r="G131" s="3">
        <v>200000</v>
      </c>
      <c r="H131" s="3">
        <v>199912.27</v>
      </c>
      <c r="I131" s="3">
        <v>0</v>
      </c>
      <c r="J131" s="3">
        <v>199912.27</v>
      </c>
      <c r="K131" s="3">
        <v>87.73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200000</v>
      </c>
      <c r="AG131" s="3">
        <v>199912.27</v>
      </c>
      <c r="AH131" s="3">
        <v>0</v>
      </c>
      <c r="AI131" s="3">
        <v>199912.27</v>
      </c>
      <c r="AJ131" s="3">
        <v>87.73</v>
      </c>
      <c r="AK131" s="2" t="s">
        <v>397</v>
      </c>
      <c r="AL131" s="2" t="s">
        <v>398</v>
      </c>
      <c r="AM131" s="3">
        <f>VLOOKUP(AL131,Table1[],2,FALSE)</f>
        <v>0</v>
      </c>
      <c r="AN131" s="3">
        <f>VLOOKUP(AL131,Table1[],3,FALSE)</f>
        <v>0</v>
      </c>
      <c r="AO131" s="3">
        <f>VLOOKUP($AL131,Table1[],4,FALSE)</f>
        <v>0</v>
      </c>
      <c r="AP131" s="3">
        <f>VLOOKUP($AL131,Table1[],5,FALSE)</f>
        <v>0</v>
      </c>
      <c r="AQ131" s="3">
        <f>VLOOKUP($AL131,Table1[],6,FALSE)</f>
        <v>0</v>
      </c>
      <c r="AR131" s="3">
        <f>VLOOKUP($AL131,Table1[],7,FALSE)</f>
        <v>0</v>
      </c>
      <c r="AS131" s="3">
        <f>VLOOKUP($AL131,Table1[],8,FALSE)</f>
        <v>0</v>
      </c>
    </row>
    <row r="132" spans="1:45" x14ac:dyDescent="0.35">
      <c r="A132" s="2" t="s">
        <v>399</v>
      </c>
      <c r="B132" s="3">
        <v>1400000</v>
      </c>
      <c r="C132" s="3">
        <v>724166</v>
      </c>
      <c r="D132" s="3">
        <v>0</v>
      </c>
      <c r="E132" s="3">
        <v>724166</v>
      </c>
      <c r="F132" s="3">
        <v>675834</v>
      </c>
      <c r="G132" s="3">
        <v>1400000</v>
      </c>
      <c r="H132" s="3">
        <v>724166</v>
      </c>
      <c r="I132" s="3">
        <v>0</v>
      </c>
      <c r="J132" s="3">
        <v>724166</v>
      </c>
      <c r="K132" s="3">
        <v>675834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1400000</v>
      </c>
      <c r="AG132" s="3">
        <v>724166</v>
      </c>
      <c r="AH132" s="3">
        <v>0</v>
      </c>
      <c r="AI132" s="3">
        <v>724166</v>
      </c>
      <c r="AJ132" s="3">
        <v>675834</v>
      </c>
      <c r="AK132" s="2" t="s">
        <v>400</v>
      </c>
      <c r="AL132" s="2" t="s">
        <v>401</v>
      </c>
      <c r="AM132" s="3">
        <f>VLOOKUP(AL132,Table1[],2,FALSE)</f>
        <v>0</v>
      </c>
      <c r="AN132" s="3">
        <f>VLOOKUP(AL132,Table1[],3,FALSE)</f>
        <v>0</v>
      </c>
      <c r="AO132" s="3">
        <f>VLOOKUP($AL132,Table1[],4,FALSE)</f>
        <v>0</v>
      </c>
      <c r="AP132" s="3">
        <f>VLOOKUP($AL132,Table1[],5,FALSE)</f>
        <v>0</v>
      </c>
      <c r="AQ132" s="3">
        <f>VLOOKUP($AL132,Table1[],6,FALSE)</f>
        <v>0</v>
      </c>
      <c r="AR132" s="3">
        <f>VLOOKUP($AL132,Table1[],7,FALSE)</f>
        <v>0</v>
      </c>
      <c r="AS132" s="3">
        <f>VLOOKUP($AL132,Table1[],8,FALSE)</f>
        <v>0</v>
      </c>
    </row>
    <row r="133" spans="1:45" x14ac:dyDescent="0.35">
      <c r="A133" s="2" t="s">
        <v>402</v>
      </c>
      <c r="B133" s="3">
        <v>47000000</v>
      </c>
      <c r="C133" s="3">
        <v>45899030</v>
      </c>
      <c r="D133" s="3">
        <v>0</v>
      </c>
      <c r="E133" s="3">
        <v>45899030</v>
      </c>
      <c r="F133" s="3">
        <v>1100970</v>
      </c>
      <c r="G133" s="3">
        <v>47000000</v>
      </c>
      <c r="H133" s="3">
        <v>45899030</v>
      </c>
      <c r="I133" s="3">
        <v>0</v>
      </c>
      <c r="J133" s="3">
        <v>45899030</v>
      </c>
      <c r="K133" s="3">
        <v>1100970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47000000</v>
      </c>
      <c r="AG133" s="3">
        <v>45899030</v>
      </c>
      <c r="AH133" s="3">
        <v>0</v>
      </c>
      <c r="AI133" s="3">
        <v>45899030</v>
      </c>
      <c r="AJ133" s="3">
        <v>1100970</v>
      </c>
      <c r="AK133" s="2" t="s">
        <v>403</v>
      </c>
      <c r="AL133" s="2" t="s">
        <v>404</v>
      </c>
      <c r="AM133" s="3">
        <f>VLOOKUP(AL133,Table1[],2,FALSE)</f>
        <v>0</v>
      </c>
      <c r="AN133" s="3">
        <f>VLOOKUP(AL133,Table1[],3,FALSE)</f>
        <v>0</v>
      </c>
      <c r="AO133" s="3">
        <f>VLOOKUP($AL133,Table1[],4,FALSE)</f>
        <v>0</v>
      </c>
      <c r="AP133" s="3">
        <f>VLOOKUP($AL133,Table1[],5,FALSE)</f>
        <v>0</v>
      </c>
      <c r="AQ133" s="3">
        <f>VLOOKUP($AL133,Table1[],6,FALSE)</f>
        <v>0</v>
      </c>
      <c r="AR133" s="3">
        <f>VLOOKUP($AL133,Table1[],7,FALSE)</f>
        <v>0</v>
      </c>
      <c r="AS133" s="3">
        <f>VLOOKUP($AL133,Table1[],8,FALSE)</f>
        <v>0</v>
      </c>
    </row>
    <row r="134" spans="1:45" x14ac:dyDescent="0.35">
      <c r="A134" s="2" t="s">
        <v>405</v>
      </c>
      <c r="B134" s="3">
        <v>4846000</v>
      </c>
      <c r="C134" s="3">
        <v>4454000</v>
      </c>
      <c r="D134" s="3">
        <v>0</v>
      </c>
      <c r="E134" s="3">
        <v>4454000</v>
      </c>
      <c r="F134" s="3">
        <v>392000</v>
      </c>
      <c r="G134" s="3">
        <v>4846000</v>
      </c>
      <c r="H134" s="3">
        <v>4454000</v>
      </c>
      <c r="I134" s="3">
        <v>0</v>
      </c>
      <c r="J134" s="3">
        <v>4454000</v>
      </c>
      <c r="K134" s="3">
        <v>392000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4846000</v>
      </c>
      <c r="AG134" s="3">
        <v>4454000</v>
      </c>
      <c r="AH134" s="3">
        <v>0</v>
      </c>
      <c r="AI134" s="3">
        <v>4454000</v>
      </c>
      <c r="AJ134" s="3">
        <v>392000</v>
      </c>
      <c r="AK134" s="2" t="s">
        <v>406</v>
      </c>
      <c r="AL134" s="2" t="s">
        <v>407</v>
      </c>
      <c r="AM134" s="3">
        <f>VLOOKUP(AL134,Table1[],2,FALSE)</f>
        <v>0</v>
      </c>
      <c r="AN134" s="3">
        <f>VLOOKUP(AL134,Table1[],3,FALSE)</f>
        <v>0</v>
      </c>
      <c r="AO134" s="3">
        <f>VLOOKUP($AL134,Table1[],4,FALSE)</f>
        <v>0</v>
      </c>
      <c r="AP134" s="3">
        <f>VLOOKUP($AL134,Table1[],5,FALSE)</f>
        <v>0</v>
      </c>
      <c r="AQ134" s="3">
        <f>VLOOKUP($AL134,Table1[],6,FALSE)</f>
        <v>0</v>
      </c>
      <c r="AR134" s="3">
        <f>VLOOKUP($AL134,Table1[],7,FALSE)</f>
        <v>0</v>
      </c>
      <c r="AS134" s="3">
        <f>VLOOKUP($AL134,Table1[],8,FALSE)</f>
        <v>0</v>
      </c>
    </row>
    <row r="135" spans="1:45" x14ac:dyDescent="0.35">
      <c r="A135" s="2" t="s">
        <v>408</v>
      </c>
      <c r="B135" s="3">
        <v>3400000</v>
      </c>
      <c r="C135" s="3">
        <v>468393</v>
      </c>
      <c r="D135" s="3">
        <v>0</v>
      </c>
      <c r="E135" s="3">
        <v>468393</v>
      </c>
      <c r="F135" s="3">
        <v>2931607</v>
      </c>
      <c r="G135" s="3">
        <v>3400000</v>
      </c>
      <c r="H135" s="3">
        <v>468393</v>
      </c>
      <c r="I135" s="3">
        <v>0</v>
      </c>
      <c r="J135" s="3">
        <v>468393</v>
      </c>
      <c r="K135" s="3">
        <v>2931607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3400000</v>
      </c>
      <c r="AG135" s="3">
        <v>468393</v>
      </c>
      <c r="AH135" s="3">
        <v>0</v>
      </c>
      <c r="AI135" s="3">
        <v>468393</v>
      </c>
      <c r="AJ135" s="3">
        <v>2931607</v>
      </c>
      <c r="AK135" s="2" t="s">
        <v>409</v>
      </c>
      <c r="AL135" s="2" t="s">
        <v>410</v>
      </c>
      <c r="AM135" s="3">
        <f>VLOOKUP(AL135,Table1[],2,FALSE)</f>
        <v>0</v>
      </c>
      <c r="AN135" s="3">
        <f>VLOOKUP(AL135,Table1[],3,FALSE)</f>
        <v>0</v>
      </c>
      <c r="AO135" s="3">
        <f>VLOOKUP($AL135,Table1[],4,FALSE)</f>
        <v>0</v>
      </c>
      <c r="AP135" s="3">
        <f>VLOOKUP($AL135,Table1[],5,FALSE)</f>
        <v>0</v>
      </c>
      <c r="AQ135" s="3">
        <f>VLOOKUP($AL135,Table1[],6,FALSE)</f>
        <v>0</v>
      </c>
      <c r="AR135" s="3">
        <f>VLOOKUP($AL135,Table1[],7,FALSE)</f>
        <v>0</v>
      </c>
      <c r="AS135" s="3">
        <f>VLOOKUP($AL135,Table1[],8,FALSE)</f>
        <v>0</v>
      </c>
    </row>
    <row r="136" spans="1:45" x14ac:dyDescent="0.35">
      <c r="A136" s="2" t="s">
        <v>411</v>
      </c>
      <c r="B136" s="3">
        <v>18614000</v>
      </c>
      <c r="C136" s="3">
        <v>14885566</v>
      </c>
      <c r="D136" s="3">
        <v>0</v>
      </c>
      <c r="E136" s="3">
        <v>14885566</v>
      </c>
      <c r="F136" s="3">
        <v>3728434</v>
      </c>
      <c r="G136" s="3">
        <v>18614000</v>
      </c>
      <c r="H136" s="3">
        <v>14885566</v>
      </c>
      <c r="I136" s="3">
        <v>0</v>
      </c>
      <c r="J136" s="3">
        <v>14885566</v>
      </c>
      <c r="K136" s="3">
        <v>3728434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18614000</v>
      </c>
      <c r="AG136" s="3">
        <v>14885566</v>
      </c>
      <c r="AH136" s="3">
        <v>0</v>
      </c>
      <c r="AI136" s="3">
        <v>14885566</v>
      </c>
      <c r="AJ136" s="3">
        <v>3728434</v>
      </c>
      <c r="AK136" s="2" t="s">
        <v>406</v>
      </c>
      <c r="AL136" s="2" t="s">
        <v>412</v>
      </c>
      <c r="AM136" s="3">
        <f>VLOOKUP(AL136,Table1[],2,FALSE)</f>
        <v>0</v>
      </c>
      <c r="AN136" s="3">
        <f>VLOOKUP(AL136,Table1[],3,FALSE)</f>
        <v>0</v>
      </c>
      <c r="AO136" s="3">
        <f>VLOOKUP($AL136,Table1[],4,FALSE)</f>
        <v>0</v>
      </c>
      <c r="AP136" s="3">
        <f>VLOOKUP($AL136,Table1[],5,FALSE)</f>
        <v>0</v>
      </c>
      <c r="AQ136" s="3">
        <f>VLOOKUP($AL136,Table1[],6,FALSE)</f>
        <v>0</v>
      </c>
      <c r="AR136" s="3">
        <f>VLOOKUP($AL136,Table1[],7,FALSE)</f>
        <v>0</v>
      </c>
      <c r="AS136" s="3">
        <f>VLOOKUP($AL136,Table1[],8,FALSE)</f>
        <v>0</v>
      </c>
    </row>
    <row r="137" spans="1:45" x14ac:dyDescent="0.35">
      <c r="A137" s="2" t="s">
        <v>413</v>
      </c>
      <c r="B137" s="3">
        <v>50000000</v>
      </c>
      <c r="C137" s="3">
        <v>50000000</v>
      </c>
      <c r="D137" s="3">
        <v>0</v>
      </c>
      <c r="E137" s="3">
        <v>50000000</v>
      </c>
      <c r="F137" s="3">
        <v>0</v>
      </c>
      <c r="G137" s="3">
        <v>50000000</v>
      </c>
      <c r="H137" s="3">
        <v>50000000</v>
      </c>
      <c r="I137" s="3">
        <v>0</v>
      </c>
      <c r="J137" s="3">
        <v>50000000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50000000</v>
      </c>
      <c r="AG137" s="3">
        <v>50000000</v>
      </c>
      <c r="AH137" s="3">
        <v>0</v>
      </c>
      <c r="AI137" s="3">
        <v>50000000</v>
      </c>
      <c r="AJ137" s="3">
        <v>0</v>
      </c>
      <c r="AK137" s="2" t="s">
        <v>414</v>
      </c>
      <c r="AL137" s="2" t="s">
        <v>415</v>
      </c>
      <c r="AM137" s="3">
        <f>VLOOKUP(AL137,Table1[],2,FALSE)</f>
        <v>0</v>
      </c>
      <c r="AN137" s="3">
        <f>VLOOKUP(AL137,Table1[],3,FALSE)</f>
        <v>0</v>
      </c>
      <c r="AO137" s="3">
        <f>VLOOKUP($AL137,Table1[],4,FALSE)</f>
        <v>0</v>
      </c>
      <c r="AP137" s="3">
        <f>VLOOKUP($AL137,Table1[],5,FALSE)</f>
        <v>0</v>
      </c>
      <c r="AQ137" s="3">
        <f>VLOOKUP($AL137,Table1[],6,FALSE)</f>
        <v>0</v>
      </c>
      <c r="AR137" s="3">
        <f>VLOOKUP($AL137,Table1[],7,FALSE)</f>
        <v>0</v>
      </c>
      <c r="AS137" s="3">
        <f>VLOOKUP($AL137,Table1[],8,FALSE)</f>
        <v>0</v>
      </c>
    </row>
    <row r="138" spans="1:45" x14ac:dyDescent="0.35">
      <c r="A138" s="2" t="s">
        <v>416</v>
      </c>
      <c r="B138" s="3">
        <v>18500000</v>
      </c>
      <c r="C138" s="3">
        <v>9250000</v>
      </c>
      <c r="D138" s="3">
        <v>9250000</v>
      </c>
      <c r="E138" s="3">
        <v>18500000</v>
      </c>
      <c r="F138" s="3">
        <v>0</v>
      </c>
      <c r="G138" s="3">
        <v>18500000</v>
      </c>
      <c r="H138" s="3">
        <v>9250000</v>
      </c>
      <c r="I138" s="3">
        <v>9250000</v>
      </c>
      <c r="J138" s="3">
        <v>18500000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18500000</v>
      </c>
      <c r="AG138" s="3">
        <v>9250000</v>
      </c>
      <c r="AH138" s="3">
        <v>9250000</v>
      </c>
      <c r="AI138" s="3">
        <v>18500000</v>
      </c>
      <c r="AJ138" s="3">
        <v>0</v>
      </c>
      <c r="AK138" s="2" t="s">
        <v>417</v>
      </c>
      <c r="AL138" s="2" t="s">
        <v>418</v>
      </c>
      <c r="AM138" s="3">
        <f>VLOOKUP(AL138,Table1[],2,FALSE)</f>
        <v>0</v>
      </c>
      <c r="AN138" s="3">
        <f>VLOOKUP(AL138,Table1[],3,FALSE)</f>
        <v>0</v>
      </c>
      <c r="AO138" s="3">
        <f>VLOOKUP($AL138,Table1[],4,FALSE)</f>
        <v>0</v>
      </c>
      <c r="AP138" s="3">
        <f>VLOOKUP($AL138,Table1[],5,FALSE)</f>
        <v>0</v>
      </c>
      <c r="AQ138" s="3">
        <f>VLOOKUP($AL138,Table1[],6,FALSE)</f>
        <v>0</v>
      </c>
      <c r="AR138" s="3">
        <f>VLOOKUP($AL138,Table1[],7,FALSE)</f>
        <v>0</v>
      </c>
      <c r="AS138" s="3">
        <f>VLOOKUP($AL138,Table1[],8,FALSE)</f>
        <v>0</v>
      </c>
    </row>
    <row r="139" spans="1:45" x14ac:dyDescent="0.35">
      <c r="A139" s="2" t="s">
        <v>419</v>
      </c>
      <c r="B139" s="3">
        <v>10500000</v>
      </c>
      <c r="C139" s="3">
        <v>382663.61</v>
      </c>
      <c r="D139" s="3">
        <v>18902.12</v>
      </c>
      <c r="E139" s="3">
        <v>401565.73</v>
      </c>
      <c r="F139" s="3">
        <v>10098434.27</v>
      </c>
      <c r="G139" s="3">
        <v>10500000</v>
      </c>
      <c r="H139" s="3">
        <v>382663.61</v>
      </c>
      <c r="I139" s="3">
        <v>18902.12</v>
      </c>
      <c r="J139" s="3">
        <v>401565.73</v>
      </c>
      <c r="K139" s="3">
        <v>10098434.27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10500000</v>
      </c>
      <c r="AG139" s="3">
        <v>382663.61</v>
      </c>
      <c r="AH139" s="3">
        <v>18902.12</v>
      </c>
      <c r="AI139" s="3">
        <v>401565.73</v>
      </c>
      <c r="AJ139" s="3">
        <v>10098434.27</v>
      </c>
      <c r="AK139" s="2" t="s">
        <v>420</v>
      </c>
      <c r="AL139" s="2" t="s">
        <v>421</v>
      </c>
      <c r="AM139" s="3">
        <f>VLOOKUP(AL139,Table1[],2,FALSE)</f>
        <v>0</v>
      </c>
      <c r="AN139" s="3">
        <f>VLOOKUP(AL139,Table1[],3,FALSE)</f>
        <v>0</v>
      </c>
      <c r="AO139" s="3">
        <f>VLOOKUP($AL139,Table1[],4,FALSE)</f>
        <v>0</v>
      </c>
      <c r="AP139" s="3">
        <f>VLOOKUP($AL139,Table1[],5,FALSE)</f>
        <v>0</v>
      </c>
      <c r="AQ139" s="3">
        <f>VLOOKUP($AL139,Table1[],6,FALSE)</f>
        <v>0</v>
      </c>
      <c r="AR139" s="3">
        <f>VLOOKUP($AL139,Table1[],7,FALSE)</f>
        <v>0</v>
      </c>
      <c r="AS139" s="3">
        <f>VLOOKUP($AL139,Table1[],8,FALSE)</f>
        <v>0</v>
      </c>
    </row>
    <row r="140" spans="1:45" x14ac:dyDescent="0.35">
      <c r="A140" s="2" t="s">
        <v>422</v>
      </c>
      <c r="B140" s="3">
        <v>20903000</v>
      </c>
      <c r="C140" s="3">
        <v>7969150</v>
      </c>
      <c r="D140" s="3">
        <v>11953725</v>
      </c>
      <c r="E140" s="3">
        <v>19922875</v>
      </c>
      <c r="F140" s="3">
        <v>980125</v>
      </c>
      <c r="G140" s="3">
        <v>20903000</v>
      </c>
      <c r="H140" s="3">
        <v>7969150</v>
      </c>
      <c r="I140" s="3">
        <v>11953725</v>
      </c>
      <c r="J140" s="3">
        <v>19922875</v>
      </c>
      <c r="K140" s="3">
        <v>980125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20903000</v>
      </c>
      <c r="AG140" s="3">
        <v>7969150</v>
      </c>
      <c r="AH140" s="3">
        <v>11953725</v>
      </c>
      <c r="AI140" s="3">
        <v>19922875</v>
      </c>
      <c r="AJ140" s="3">
        <v>980125</v>
      </c>
      <c r="AK140" s="2" t="s">
        <v>423</v>
      </c>
      <c r="AL140" s="2" t="s">
        <v>424</v>
      </c>
      <c r="AM140" s="3">
        <f>VLOOKUP(AL140,Table1[],2,FALSE)</f>
        <v>0</v>
      </c>
      <c r="AN140" s="3">
        <f>VLOOKUP(AL140,Table1[],3,FALSE)</f>
        <v>0</v>
      </c>
      <c r="AO140" s="3">
        <f>VLOOKUP($AL140,Table1[],4,FALSE)</f>
        <v>0</v>
      </c>
      <c r="AP140" s="3">
        <f>VLOOKUP($AL140,Table1[],5,FALSE)</f>
        <v>0</v>
      </c>
      <c r="AQ140" s="3">
        <f>VLOOKUP($AL140,Table1[],6,FALSE)</f>
        <v>0</v>
      </c>
      <c r="AR140" s="3">
        <f>VLOOKUP($AL140,Table1[],7,FALSE)</f>
        <v>0</v>
      </c>
      <c r="AS140" s="3">
        <f>VLOOKUP($AL140,Table1[],8,FALSE)</f>
        <v>0</v>
      </c>
    </row>
    <row r="141" spans="1:45" x14ac:dyDescent="0.35">
      <c r="A141" s="2" t="s">
        <v>425</v>
      </c>
      <c r="B141" s="3">
        <v>100000</v>
      </c>
      <c r="C141" s="3">
        <v>0</v>
      </c>
      <c r="D141" s="3">
        <v>0</v>
      </c>
      <c r="E141" s="3">
        <v>0</v>
      </c>
      <c r="F141" s="3">
        <v>100000</v>
      </c>
      <c r="G141" s="3">
        <v>100000</v>
      </c>
      <c r="H141" s="3">
        <v>0</v>
      </c>
      <c r="I141" s="3">
        <v>0</v>
      </c>
      <c r="J141" s="3">
        <v>0</v>
      </c>
      <c r="K141" s="3">
        <v>100000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100000</v>
      </c>
      <c r="AG141" s="3">
        <v>0</v>
      </c>
      <c r="AH141" s="3">
        <v>0</v>
      </c>
      <c r="AI141" s="3">
        <v>0</v>
      </c>
      <c r="AJ141" s="3">
        <v>100000</v>
      </c>
      <c r="AK141" s="2" t="s">
        <v>426</v>
      </c>
      <c r="AL141" s="2" t="s">
        <v>427</v>
      </c>
      <c r="AM141" s="3" t="e">
        <f>VLOOKUP(AL141,Table1[],2,FALSE)</f>
        <v>#N/A</v>
      </c>
      <c r="AN141" s="3" t="e">
        <f>VLOOKUP(AL141,Table1[],3,FALSE)</f>
        <v>#N/A</v>
      </c>
      <c r="AO141" s="3" t="e">
        <f>VLOOKUP($AL141,Table1[],4,FALSE)</f>
        <v>#N/A</v>
      </c>
      <c r="AP141" s="3" t="e">
        <f>VLOOKUP($AL141,Table1[],5,FALSE)</f>
        <v>#N/A</v>
      </c>
      <c r="AQ141" s="3" t="e">
        <f>VLOOKUP($AL141,Table1[],6,FALSE)</f>
        <v>#N/A</v>
      </c>
      <c r="AR141" s="3" t="e">
        <f>VLOOKUP($AL141,Table1[],7,FALSE)</f>
        <v>#N/A</v>
      </c>
      <c r="AS141" s="3" t="e">
        <f>VLOOKUP($AL141,Table1[],8,FALSE)</f>
        <v>#N/A</v>
      </c>
    </row>
    <row r="142" spans="1:45" x14ac:dyDescent="0.35">
      <c r="A142" s="2" t="s">
        <v>428</v>
      </c>
      <c r="B142" s="3">
        <v>6000000</v>
      </c>
      <c r="C142" s="3">
        <v>1067841.42</v>
      </c>
      <c r="D142" s="3">
        <v>51230</v>
      </c>
      <c r="E142" s="3">
        <v>1119071.42</v>
      </c>
      <c r="F142" s="3">
        <v>4880928.58</v>
      </c>
      <c r="G142" s="3">
        <v>6000000</v>
      </c>
      <c r="H142" s="3">
        <v>1067841.42</v>
      </c>
      <c r="I142" s="3">
        <v>51230</v>
      </c>
      <c r="J142" s="3">
        <v>1119071.42</v>
      </c>
      <c r="K142" s="3">
        <v>4880928.58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6000000</v>
      </c>
      <c r="AG142" s="3">
        <v>1067841.42</v>
      </c>
      <c r="AH142" s="3">
        <v>51230</v>
      </c>
      <c r="AI142" s="3">
        <v>1119071.42</v>
      </c>
      <c r="AJ142" s="3">
        <v>4880928.58</v>
      </c>
      <c r="AK142" s="2" t="s">
        <v>429</v>
      </c>
      <c r="AL142" s="2" t="s">
        <v>430</v>
      </c>
      <c r="AM142" s="3">
        <f>VLOOKUP(AL142,Table1[],2,FALSE)</f>
        <v>0</v>
      </c>
      <c r="AN142" s="3">
        <f>VLOOKUP(AL142,Table1[],3,FALSE)</f>
        <v>0</v>
      </c>
      <c r="AO142" s="3">
        <f>VLOOKUP($AL142,Table1[],4,FALSE)</f>
        <v>0</v>
      </c>
      <c r="AP142" s="3">
        <f>VLOOKUP($AL142,Table1[],5,FALSE)</f>
        <v>0</v>
      </c>
      <c r="AQ142" s="3">
        <f>VLOOKUP($AL142,Table1[],6,FALSE)</f>
        <v>0</v>
      </c>
      <c r="AR142" s="3">
        <f>VLOOKUP($AL142,Table1[],7,FALSE)</f>
        <v>0</v>
      </c>
      <c r="AS142" s="3">
        <f>VLOOKUP($AL142,Table1[],8,FALSE)</f>
        <v>0</v>
      </c>
    </row>
    <row r="143" spans="1:45" x14ac:dyDescent="0.35">
      <c r="A143" s="2" t="s">
        <v>431</v>
      </c>
      <c r="B143" s="3">
        <v>1500000</v>
      </c>
      <c r="C143" s="3">
        <v>1500000</v>
      </c>
      <c r="D143" s="3">
        <v>0</v>
      </c>
      <c r="E143" s="3">
        <v>1500000</v>
      </c>
      <c r="F143" s="3">
        <v>0</v>
      </c>
      <c r="G143" s="3">
        <v>1500000</v>
      </c>
      <c r="H143" s="3">
        <v>1500000</v>
      </c>
      <c r="I143" s="3">
        <v>0</v>
      </c>
      <c r="J143" s="3">
        <v>1500000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1500000</v>
      </c>
      <c r="AG143" s="3">
        <v>1500000</v>
      </c>
      <c r="AH143" s="3">
        <v>0</v>
      </c>
      <c r="AI143" s="3">
        <v>1500000</v>
      </c>
      <c r="AJ143" s="3">
        <v>0</v>
      </c>
      <c r="AK143" s="2" t="s">
        <v>432</v>
      </c>
      <c r="AL143" s="2" t="s">
        <v>433</v>
      </c>
      <c r="AM143" s="3">
        <f>VLOOKUP(AL143,Table1[],2,FALSE)</f>
        <v>0</v>
      </c>
      <c r="AN143" s="3">
        <f>VLOOKUP(AL143,Table1[],3,FALSE)</f>
        <v>0</v>
      </c>
      <c r="AO143" s="3">
        <f>VLOOKUP($AL143,Table1[],4,FALSE)</f>
        <v>0</v>
      </c>
      <c r="AP143" s="3">
        <f>VLOOKUP($AL143,Table1[],5,FALSE)</f>
        <v>0</v>
      </c>
      <c r="AQ143" s="3">
        <f>VLOOKUP($AL143,Table1[],6,FALSE)</f>
        <v>0</v>
      </c>
      <c r="AR143" s="3">
        <f>VLOOKUP($AL143,Table1[],7,FALSE)</f>
        <v>0</v>
      </c>
      <c r="AS143" s="3">
        <f>VLOOKUP($AL143,Table1[],8,FALSE)</f>
        <v>0</v>
      </c>
    </row>
    <row r="144" spans="1:45" x14ac:dyDescent="0.35">
      <c r="A144" s="2" t="s">
        <v>434</v>
      </c>
      <c r="B144" s="3">
        <v>28734884.57</v>
      </c>
      <c r="C144" s="3">
        <v>0</v>
      </c>
      <c r="D144" s="3">
        <v>0</v>
      </c>
      <c r="E144" s="3">
        <v>0</v>
      </c>
      <c r="F144" s="3">
        <v>28734884.57</v>
      </c>
      <c r="G144" s="3">
        <v>28734884.57</v>
      </c>
      <c r="H144" s="3">
        <v>0</v>
      </c>
      <c r="I144" s="3">
        <v>0</v>
      </c>
      <c r="J144" s="3">
        <v>0</v>
      </c>
      <c r="K144" s="3">
        <v>28734884.57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28734884.57</v>
      </c>
      <c r="AG144" s="3">
        <v>0</v>
      </c>
      <c r="AH144" s="3">
        <v>0</v>
      </c>
      <c r="AI144" s="3">
        <v>0</v>
      </c>
      <c r="AJ144" s="3">
        <v>28734884.57</v>
      </c>
      <c r="AK144" s="2" t="s">
        <v>435</v>
      </c>
      <c r="AL144" s="2" t="s">
        <v>436</v>
      </c>
      <c r="AM144" s="3" t="e">
        <f>VLOOKUP(AL144,Table1[],2,FALSE)</f>
        <v>#N/A</v>
      </c>
      <c r="AN144" s="3" t="e">
        <f>VLOOKUP(AL144,Table1[],3,FALSE)</f>
        <v>#N/A</v>
      </c>
      <c r="AO144" s="3" t="e">
        <f>VLOOKUP($AL144,Table1[],4,FALSE)</f>
        <v>#N/A</v>
      </c>
      <c r="AP144" s="3" t="e">
        <f>VLOOKUP($AL144,Table1[],5,FALSE)</f>
        <v>#N/A</v>
      </c>
      <c r="AQ144" s="3" t="e">
        <f>VLOOKUP($AL144,Table1[],6,FALSE)</f>
        <v>#N/A</v>
      </c>
      <c r="AR144" s="3" t="e">
        <f>VLOOKUP($AL144,Table1[],7,FALSE)</f>
        <v>#N/A</v>
      </c>
      <c r="AS144" s="3" t="e">
        <f>VLOOKUP($AL144,Table1[],8,FALSE)</f>
        <v>#N/A</v>
      </c>
    </row>
    <row r="145" spans="1:45" x14ac:dyDescent="0.35">
      <c r="A145" s="2" t="s">
        <v>437</v>
      </c>
      <c r="B145" s="3">
        <v>7200000</v>
      </c>
      <c r="C145" s="3">
        <v>6889940.6399999997</v>
      </c>
      <c r="D145" s="3">
        <v>0</v>
      </c>
      <c r="E145" s="3">
        <v>6889940.6399999997</v>
      </c>
      <c r="F145" s="3">
        <v>310059.36</v>
      </c>
      <c r="G145" s="3">
        <v>7200000</v>
      </c>
      <c r="H145" s="3">
        <v>6889940.6399999997</v>
      </c>
      <c r="I145" s="3">
        <v>0</v>
      </c>
      <c r="J145" s="3">
        <v>6889940.6399999997</v>
      </c>
      <c r="K145" s="3">
        <v>310059.36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7200000</v>
      </c>
      <c r="AG145" s="3">
        <v>6889940.6399999997</v>
      </c>
      <c r="AH145" s="3">
        <v>0</v>
      </c>
      <c r="AI145" s="3">
        <v>6889940.6399999997</v>
      </c>
      <c r="AJ145" s="3">
        <v>310059.36</v>
      </c>
      <c r="AK145" s="2" t="s">
        <v>438</v>
      </c>
      <c r="AL145" s="2" t="s">
        <v>439</v>
      </c>
      <c r="AM145" s="3">
        <f>VLOOKUP(AL145,Table1[],2,FALSE)</f>
        <v>0</v>
      </c>
      <c r="AN145" s="3">
        <f>VLOOKUP(AL145,Table1[],3,FALSE)</f>
        <v>0</v>
      </c>
      <c r="AO145" s="3">
        <f>VLOOKUP($AL145,Table1[],4,FALSE)</f>
        <v>0</v>
      </c>
      <c r="AP145" s="3">
        <f>VLOOKUP($AL145,Table1[],5,FALSE)</f>
        <v>0</v>
      </c>
      <c r="AQ145" s="3">
        <f>VLOOKUP($AL145,Table1[],6,FALSE)</f>
        <v>0</v>
      </c>
      <c r="AR145" s="3">
        <f>VLOOKUP($AL145,Table1[],7,FALSE)</f>
        <v>0</v>
      </c>
      <c r="AS145" s="3">
        <f>VLOOKUP($AL145,Table1[],8,FALSE)</f>
        <v>0</v>
      </c>
    </row>
    <row r="146" spans="1:45" x14ac:dyDescent="0.35">
      <c r="A146" s="2" t="s">
        <v>440</v>
      </c>
      <c r="B146" s="3">
        <v>6000000</v>
      </c>
      <c r="C146" s="3">
        <v>0</v>
      </c>
      <c r="D146" s="3">
        <v>0</v>
      </c>
      <c r="E146" s="3">
        <v>0</v>
      </c>
      <c r="F146" s="3">
        <v>6000000</v>
      </c>
      <c r="G146" s="3">
        <v>6000000</v>
      </c>
      <c r="H146" s="3">
        <v>0</v>
      </c>
      <c r="I146" s="3">
        <v>0</v>
      </c>
      <c r="J146" s="3">
        <v>0</v>
      </c>
      <c r="K146" s="3">
        <v>6000000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6000000</v>
      </c>
      <c r="AG146" s="3">
        <v>0</v>
      </c>
      <c r="AH146" s="3">
        <v>0</v>
      </c>
      <c r="AI146" s="3">
        <v>0</v>
      </c>
      <c r="AJ146" s="3">
        <v>6000000</v>
      </c>
      <c r="AK146" s="2" t="s">
        <v>441</v>
      </c>
      <c r="AL146" s="2" t="s">
        <v>442</v>
      </c>
      <c r="AM146" s="3" t="e">
        <f>VLOOKUP(AL146,Table1[],2,FALSE)</f>
        <v>#N/A</v>
      </c>
      <c r="AN146" s="3" t="e">
        <f>VLOOKUP(AL146,Table1[],3,FALSE)</f>
        <v>#N/A</v>
      </c>
      <c r="AO146" s="3" t="e">
        <f>VLOOKUP($AL146,Table1[],4,FALSE)</f>
        <v>#N/A</v>
      </c>
      <c r="AP146" s="3" t="e">
        <f>VLOOKUP($AL146,Table1[],5,FALSE)</f>
        <v>#N/A</v>
      </c>
      <c r="AQ146" s="3" t="e">
        <f>VLOOKUP($AL146,Table1[],6,FALSE)</f>
        <v>#N/A</v>
      </c>
      <c r="AR146" s="3" t="e">
        <f>VLOOKUP($AL146,Table1[],7,FALSE)</f>
        <v>#N/A</v>
      </c>
      <c r="AS146" s="3" t="e">
        <f>VLOOKUP($AL146,Table1[],8,FALSE)</f>
        <v>#N/A</v>
      </c>
    </row>
    <row r="147" spans="1:45" x14ac:dyDescent="0.35">
      <c r="A147" s="2" t="s">
        <v>443</v>
      </c>
      <c r="B147" s="3">
        <v>20825000</v>
      </c>
      <c r="C147" s="3">
        <v>19825000</v>
      </c>
      <c r="D147" s="3">
        <v>634321.96</v>
      </c>
      <c r="E147" s="3">
        <v>20459321.960000001</v>
      </c>
      <c r="F147" s="3">
        <v>365678.04</v>
      </c>
      <c r="G147" s="3">
        <v>20825000</v>
      </c>
      <c r="H147" s="3">
        <v>19825000</v>
      </c>
      <c r="I147" s="3">
        <v>634321.96</v>
      </c>
      <c r="J147" s="3">
        <v>20459321.960000001</v>
      </c>
      <c r="K147" s="3">
        <v>365678.04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20825000</v>
      </c>
      <c r="AG147" s="3">
        <v>19825000</v>
      </c>
      <c r="AH147" s="3">
        <v>634321.96</v>
      </c>
      <c r="AI147" s="3">
        <v>20459321.960000001</v>
      </c>
      <c r="AJ147" s="3">
        <v>365678.04</v>
      </c>
      <c r="AK147" s="2" t="s">
        <v>444</v>
      </c>
      <c r="AL147" s="2" t="s">
        <v>445</v>
      </c>
      <c r="AM147" s="3">
        <f>VLOOKUP(AL147,Table1[],2,FALSE)</f>
        <v>0</v>
      </c>
      <c r="AN147" s="3">
        <f>VLOOKUP(AL147,Table1[],3,FALSE)</f>
        <v>0</v>
      </c>
      <c r="AO147" s="3">
        <f>VLOOKUP($AL147,Table1[],4,FALSE)</f>
        <v>0</v>
      </c>
      <c r="AP147" s="3">
        <f>VLOOKUP($AL147,Table1[],5,FALSE)</f>
        <v>0</v>
      </c>
      <c r="AQ147" s="3">
        <f>VLOOKUP($AL147,Table1[],6,FALSE)</f>
        <v>0</v>
      </c>
      <c r="AR147" s="3">
        <f>VLOOKUP($AL147,Table1[],7,FALSE)</f>
        <v>0</v>
      </c>
      <c r="AS147" s="3">
        <f>VLOOKUP($AL147,Table1[],8,FALSE)</f>
        <v>0</v>
      </c>
    </row>
    <row r="148" spans="1:45" x14ac:dyDescent="0.35">
      <c r="A148" s="2" t="s">
        <v>446</v>
      </c>
      <c r="B148" s="3">
        <v>88500000</v>
      </c>
      <c r="C148" s="3">
        <v>88500000</v>
      </c>
      <c r="D148" s="3">
        <v>0</v>
      </c>
      <c r="E148" s="3">
        <v>88500000</v>
      </c>
      <c r="F148" s="3">
        <v>0</v>
      </c>
      <c r="G148" s="3">
        <v>88500000</v>
      </c>
      <c r="H148" s="3">
        <v>88500000</v>
      </c>
      <c r="I148" s="3">
        <v>0</v>
      </c>
      <c r="J148" s="3">
        <v>88500000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88500000</v>
      </c>
      <c r="AG148" s="3">
        <v>88500000</v>
      </c>
      <c r="AH148" s="3">
        <v>0</v>
      </c>
      <c r="AI148" s="3">
        <v>88500000</v>
      </c>
      <c r="AJ148" s="3">
        <v>0</v>
      </c>
      <c r="AK148" s="2" t="s">
        <v>447</v>
      </c>
      <c r="AL148" s="2" t="s">
        <v>448</v>
      </c>
      <c r="AM148" s="3">
        <f>VLOOKUP(AL148,Table1[],2,FALSE)</f>
        <v>0</v>
      </c>
      <c r="AN148" s="3">
        <f>VLOOKUP(AL148,Table1[],3,FALSE)</f>
        <v>0</v>
      </c>
      <c r="AO148" s="3">
        <f>VLOOKUP($AL148,Table1[],4,FALSE)</f>
        <v>0</v>
      </c>
      <c r="AP148" s="3">
        <f>VLOOKUP($AL148,Table1[],5,FALSE)</f>
        <v>0</v>
      </c>
      <c r="AQ148" s="3">
        <f>VLOOKUP($AL148,Table1[],6,FALSE)</f>
        <v>0</v>
      </c>
      <c r="AR148" s="3">
        <f>VLOOKUP($AL148,Table1[],7,FALSE)</f>
        <v>0</v>
      </c>
      <c r="AS148" s="3">
        <f>VLOOKUP($AL148,Table1[],8,FALSE)</f>
        <v>0</v>
      </c>
    </row>
    <row r="149" spans="1:45" x14ac:dyDescent="0.35">
      <c r="A149" s="2" t="s">
        <v>449</v>
      </c>
      <c r="B149" s="3">
        <v>1000000</v>
      </c>
      <c r="C149" s="3">
        <v>836868.56</v>
      </c>
      <c r="D149" s="3">
        <v>0</v>
      </c>
      <c r="E149" s="3">
        <v>836868.56</v>
      </c>
      <c r="F149" s="3">
        <v>163131.44</v>
      </c>
      <c r="G149" s="3">
        <v>1000000</v>
      </c>
      <c r="H149" s="3">
        <v>836868.56</v>
      </c>
      <c r="I149" s="3">
        <v>0</v>
      </c>
      <c r="J149" s="3">
        <v>836868.56</v>
      </c>
      <c r="K149" s="3">
        <v>163131.44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1000000</v>
      </c>
      <c r="AG149" s="3">
        <v>836868.56</v>
      </c>
      <c r="AH149" s="3">
        <v>0</v>
      </c>
      <c r="AI149" s="3">
        <v>836868.56</v>
      </c>
      <c r="AJ149" s="3">
        <v>163131.44</v>
      </c>
      <c r="AK149" s="2" t="s">
        <v>450</v>
      </c>
      <c r="AL149" s="2" t="s">
        <v>451</v>
      </c>
      <c r="AM149" s="3">
        <f>VLOOKUP(AL149,Table1[],2,FALSE)</f>
        <v>0</v>
      </c>
      <c r="AN149" s="3">
        <f>VLOOKUP(AL149,Table1[],3,FALSE)</f>
        <v>0</v>
      </c>
      <c r="AO149" s="3">
        <f>VLOOKUP($AL149,Table1[],4,FALSE)</f>
        <v>0</v>
      </c>
      <c r="AP149" s="3">
        <f>VLOOKUP($AL149,Table1[],5,FALSE)</f>
        <v>0</v>
      </c>
      <c r="AQ149" s="3">
        <f>VLOOKUP($AL149,Table1[],6,FALSE)</f>
        <v>0</v>
      </c>
      <c r="AR149" s="3">
        <f>VLOOKUP($AL149,Table1[],7,FALSE)</f>
        <v>0</v>
      </c>
      <c r="AS149" s="3">
        <f>VLOOKUP($AL149,Table1[],8,FALSE)</f>
        <v>0</v>
      </c>
    </row>
    <row r="150" spans="1:45" x14ac:dyDescent="0.35">
      <c r="A150" s="2" t="s">
        <v>452</v>
      </c>
      <c r="B150" s="3">
        <v>26700000</v>
      </c>
      <c r="C150" s="3">
        <v>16416779.84</v>
      </c>
      <c r="D150" s="3">
        <v>0</v>
      </c>
      <c r="E150" s="3">
        <v>16416779.84</v>
      </c>
      <c r="F150" s="3">
        <v>10283220.16</v>
      </c>
      <c r="G150" s="3">
        <v>26700000</v>
      </c>
      <c r="H150" s="3">
        <v>16416779.84</v>
      </c>
      <c r="I150" s="3">
        <v>0</v>
      </c>
      <c r="J150" s="3">
        <v>16416779.84</v>
      </c>
      <c r="K150" s="3">
        <v>10283220.16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26700000</v>
      </c>
      <c r="AG150" s="3">
        <v>16416779.84</v>
      </c>
      <c r="AH150" s="3">
        <v>0</v>
      </c>
      <c r="AI150" s="3">
        <v>16416779.84</v>
      </c>
      <c r="AJ150" s="3">
        <v>10283220.16</v>
      </c>
      <c r="AK150" s="2" t="s">
        <v>453</v>
      </c>
      <c r="AL150" s="2" t="s">
        <v>454</v>
      </c>
      <c r="AM150" s="3">
        <f>VLOOKUP(AL150,Table1[],2,FALSE)</f>
        <v>0</v>
      </c>
      <c r="AN150" s="3">
        <f>VLOOKUP(AL150,Table1[],3,FALSE)</f>
        <v>0</v>
      </c>
      <c r="AO150" s="3">
        <f>VLOOKUP($AL150,Table1[],4,FALSE)</f>
        <v>0</v>
      </c>
      <c r="AP150" s="3">
        <f>VLOOKUP($AL150,Table1[],5,FALSE)</f>
        <v>0</v>
      </c>
      <c r="AQ150" s="3">
        <f>VLOOKUP($AL150,Table1[],6,FALSE)</f>
        <v>0</v>
      </c>
      <c r="AR150" s="3">
        <f>VLOOKUP($AL150,Table1[],7,FALSE)</f>
        <v>0</v>
      </c>
      <c r="AS150" s="3">
        <f>VLOOKUP($AL150,Table1[],8,FALSE)</f>
        <v>0</v>
      </c>
    </row>
    <row r="151" spans="1:45" x14ac:dyDescent="0.35">
      <c r="A151" s="2" t="s">
        <v>455</v>
      </c>
      <c r="B151" s="3">
        <v>5000000</v>
      </c>
      <c r="C151" s="3">
        <v>4859674.03</v>
      </c>
      <c r="D151" s="3">
        <v>0</v>
      </c>
      <c r="E151" s="3">
        <v>4859674.03</v>
      </c>
      <c r="F151" s="3">
        <v>140325.97</v>
      </c>
      <c r="G151" s="3">
        <v>5000000</v>
      </c>
      <c r="H151" s="3">
        <v>4859674.03</v>
      </c>
      <c r="I151" s="3">
        <v>0</v>
      </c>
      <c r="J151" s="3">
        <v>4859674.03</v>
      </c>
      <c r="K151" s="3">
        <v>140325.97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5000000</v>
      </c>
      <c r="AG151" s="3">
        <v>4859674.03</v>
      </c>
      <c r="AH151" s="3">
        <v>0</v>
      </c>
      <c r="AI151" s="3">
        <v>4859674.03</v>
      </c>
      <c r="AJ151" s="3">
        <v>140325.97</v>
      </c>
      <c r="AK151" s="2" t="s">
        <v>456</v>
      </c>
      <c r="AL151" s="2" t="s">
        <v>457</v>
      </c>
      <c r="AM151" s="3">
        <f>VLOOKUP(AL151,Table1[],2,FALSE)</f>
        <v>0</v>
      </c>
      <c r="AN151" s="3">
        <f>VLOOKUP(AL151,Table1[],3,FALSE)</f>
        <v>0</v>
      </c>
      <c r="AO151" s="3">
        <f>VLOOKUP($AL151,Table1[],4,FALSE)</f>
        <v>0</v>
      </c>
      <c r="AP151" s="3">
        <f>VLOOKUP($AL151,Table1[],5,FALSE)</f>
        <v>0</v>
      </c>
      <c r="AQ151" s="3">
        <f>VLOOKUP($AL151,Table1[],6,FALSE)</f>
        <v>0</v>
      </c>
      <c r="AR151" s="3">
        <f>VLOOKUP($AL151,Table1[],7,FALSE)</f>
        <v>0</v>
      </c>
      <c r="AS151" s="3">
        <f>VLOOKUP($AL151,Table1[],8,FALSE)</f>
        <v>0</v>
      </c>
    </row>
    <row r="152" spans="1:45" x14ac:dyDescent="0.35">
      <c r="A152" s="2" t="s">
        <v>458</v>
      </c>
      <c r="B152" s="3">
        <v>23000000</v>
      </c>
      <c r="C152" s="3">
        <v>13136885.449999999</v>
      </c>
      <c r="D152" s="3">
        <v>2347572.91</v>
      </c>
      <c r="E152" s="3">
        <v>15484458.359999999</v>
      </c>
      <c r="F152" s="3">
        <v>7515541.6399999997</v>
      </c>
      <c r="G152" s="3">
        <v>23000000</v>
      </c>
      <c r="H152" s="3">
        <v>13136885.449999999</v>
      </c>
      <c r="I152" s="3">
        <v>2347572.91</v>
      </c>
      <c r="J152" s="3">
        <v>15484458.359999999</v>
      </c>
      <c r="K152" s="3">
        <v>7515541.6399999997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23000000</v>
      </c>
      <c r="AG152" s="3">
        <v>13136885.449999999</v>
      </c>
      <c r="AH152" s="3">
        <v>2347572.91</v>
      </c>
      <c r="AI152" s="3">
        <v>15484458.359999999</v>
      </c>
      <c r="AJ152" s="3">
        <v>7515541.6399999997</v>
      </c>
      <c r="AK152" s="2" t="s">
        <v>459</v>
      </c>
      <c r="AL152" s="2" t="s">
        <v>460</v>
      </c>
      <c r="AM152" s="3">
        <f>VLOOKUP(AL152,Table1[],2,FALSE)</f>
        <v>0</v>
      </c>
      <c r="AN152" s="3">
        <f>VLOOKUP(AL152,Table1[],3,FALSE)</f>
        <v>0</v>
      </c>
      <c r="AO152" s="3">
        <f>VLOOKUP($AL152,Table1[],4,FALSE)</f>
        <v>0</v>
      </c>
      <c r="AP152" s="3">
        <f>VLOOKUP($AL152,Table1[],5,FALSE)</f>
        <v>0</v>
      </c>
      <c r="AQ152" s="3">
        <f>VLOOKUP($AL152,Table1[],6,FALSE)</f>
        <v>0</v>
      </c>
      <c r="AR152" s="3">
        <f>VLOOKUP($AL152,Table1[],7,FALSE)</f>
        <v>0</v>
      </c>
      <c r="AS152" s="3">
        <f>VLOOKUP($AL152,Table1[],8,FALSE)</f>
        <v>0</v>
      </c>
    </row>
    <row r="153" spans="1:45" x14ac:dyDescent="0.35">
      <c r="A153" s="2" t="s">
        <v>461</v>
      </c>
      <c r="B153" s="3">
        <v>12000000</v>
      </c>
      <c r="C153" s="3">
        <v>8388348.3399999999</v>
      </c>
      <c r="D153" s="3">
        <v>1318614.51</v>
      </c>
      <c r="E153" s="3">
        <v>9706962.8499999996</v>
      </c>
      <c r="F153" s="3">
        <v>2293037.15</v>
      </c>
      <c r="G153" s="3">
        <v>12000000</v>
      </c>
      <c r="H153" s="3">
        <v>8388348.3399999999</v>
      </c>
      <c r="I153" s="3">
        <v>1318614.51</v>
      </c>
      <c r="J153" s="3">
        <v>9706962.8499999996</v>
      </c>
      <c r="K153" s="3">
        <v>2293037.15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12000000</v>
      </c>
      <c r="AG153" s="3">
        <v>8388348.3399999999</v>
      </c>
      <c r="AH153" s="3">
        <v>1318614.51</v>
      </c>
      <c r="AI153" s="3">
        <v>9706962.8499999996</v>
      </c>
      <c r="AJ153" s="3">
        <v>2293037.15</v>
      </c>
      <c r="AK153" s="2" t="s">
        <v>462</v>
      </c>
      <c r="AL153" s="2" t="s">
        <v>463</v>
      </c>
      <c r="AM153" s="3">
        <f>VLOOKUP(AL153,Table1[],2,FALSE)</f>
        <v>0</v>
      </c>
      <c r="AN153" s="3">
        <f>VLOOKUP(AL153,Table1[],3,FALSE)</f>
        <v>0</v>
      </c>
      <c r="AO153" s="3">
        <f>VLOOKUP($AL153,Table1[],4,FALSE)</f>
        <v>0</v>
      </c>
      <c r="AP153" s="3">
        <f>VLOOKUP($AL153,Table1[],5,FALSE)</f>
        <v>0</v>
      </c>
      <c r="AQ153" s="3">
        <f>VLOOKUP($AL153,Table1[],6,FALSE)</f>
        <v>0</v>
      </c>
      <c r="AR153" s="3">
        <f>VLOOKUP($AL153,Table1[],7,FALSE)</f>
        <v>0</v>
      </c>
      <c r="AS153" s="3">
        <f>VLOOKUP($AL153,Table1[],8,FALSE)</f>
        <v>0</v>
      </c>
    </row>
    <row r="154" spans="1:45" x14ac:dyDescent="0.35">
      <c r="A154" s="2" t="s">
        <v>464</v>
      </c>
      <c r="B154" s="3">
        <v>1130000</v>
      </c>
      <c r="C154" s="3">
        <v>1117576.75</v>
      </c>
      <c r="D154" s="3">
        <v>0</v>
      </c>
      <c r="E154" s="3">
        <v>1117576.75</v>
      </c>
      <c r="F154" s="3">
        <v>12423.25</v>
      </c>
      <c r="G154" s="3">
        <v>1130000</v>
      </c>
      <c r="H154" s="3">
        <v>1117576.75</v>
      </c>
      <c r="I154" s="3">
        <v>0</v>
      </c>
      <c r="J154" s="3">
        <v>1117576.75</v>
      </c>
      <c r="K154" s="3">
        <v>12423.25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1130000</v>
      </c>
      <c r="AG154" s="3">
        <v>1117576.75</v>
      </c>
      <c r="AH154" s="3">
        <v>0</v>
      </c>
      <c r="AI154" s="3">
        <v>1117576.75</v>
      </c>
      <c r="AJ154" s="3">
        <v>12423.25</v>
      </c>
      <c r="AK154" s="2" t="s">
        <v>465</v>
      </c>
      <c r="AL154" s="2" t="s">
        <v>466</v>
      </c>
      <c r="AM154" s="3">
        <f>VLOOKUP(AL154,Table1[],2,FALSE)</f>
        <v>0</v>
      </c>
      <c r="AN154" s="3">
        <f>VLOOKUP(AL154,Table1[],3,FALSE)</f>
        <v>0</v>
      </c>
      <c r="AO154" s="3">
        <f>VLOOKUP($AL154,Table1[],4,FALSE)</f>
        <v>0</v>
      </c>
      <c r="AP154" s="3">
        <f>VLOOKUP($AL154,Table1[],5,FALSE)</f>
        <v>0</v>
      </c>
      <c r="AQ154" s="3">
        <f>VLOOKUP($AL154,Table1[],6,FALSE)</f>
        <v>0</v>
      </c>
      <c r="AR154" s="3">
        <f>VLOOKUP($AL154,Table1[],7,FALSE)</f>
        <v>0</v>
      </c>
      <c r="AS154" s="3">
        <f>VLOOKUP($AL154,Table1[],8,FALSE)</f>
        <v>0</v>
      </c>
    </row>
    <row r="155" spans="1:45" x14ac:dyDescent="0.35">
      <c r="A155" s="2" t="s">
        <v>467</v>
      </c>
      <c r="B155" s="3">
        <v>4795000</v>
      </c>
      <c r="C155" s="3">
        <v>4794560.7699999996</v>
      </c>
      <c r="D155" s="3">
        <v>0</v>
      </c>
      <c r="E155" s="3">
        <v>4794560.7699999996</v>
      </c>
      <c r="F155" s="3">
        <v>439.23</v>
      </c>
      <c r="G155" s="3">
        <v>4795000</v>
      </c>
      <c r="H155" s="3">
        <v>4794560.7699999996</v>
      </c>
      <c r="I155" s="3">
        <v>0</v>
      </c>
      <c r="J155" s="3">
        <v>4794560.7699999996</v>
      </c>
      <c r="K155" s="3">
        <v>439.23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4795000</v>
      </c>
      <c r="AG155" s="3">
        <v>4794560.7699999996</v>
      </c>
      <c r="AH155" s="3">
        <v>0</v>
      </c>
      <c r="AI155" s="3">
        <v>4794560.7699999996</v>
      </c>
      <c r="AJ155" s="3">
        <v>439.23</v>
      </c>
      <c r="AK155" s="2" t="s">
        <v>468</v>
      </c>
      <c r="AL155" s="2" t="s">
        <v>469</v>
      </c>
      <c r="AM155" s="3">
        <f>VLOOKUP(AL155,Table1[],2,FALSE)</f>
        <v>0</v>
      </c>
      <c r="AN155" s="3">
        <f>VLOOKUP(AL155,Table1[],3,FALSE)</f>
        <v>0</v>
      </c>
      <c r="AO155" s="3">
        <f>VLOOKUP($AL155,Table1[],4,FALSE)</f>
        <v>0</v>
      </c>
      <c r="AP155" s="3">
        <f>VLOOKUP($AL155,Table1[],5,FALSE)</f>
        <v>0</v>
      </c>
      <c r="AQ155" s="3">
        <f>VLOOKUP($AL155,Table1[],6,FALSE)</f>
        <v>0</v>
      </c>
      <c r="AR155" s="3">
        <f>VLOOKUP($AL155,Table1[],7,FALSE)</f>
        <v>0</v>
      </c>
      <c r="AS155" s="3">
        <f>VLOOKUP($AL155,Table1[],8,FALSE)</f>
        <v>0</v>
      </c>
    </row>
    <row r="156" spans="1:45" x14ac:dyDescent="0.35">
      <c r="A156" s="2" t="s">
        <v>470</v>
      </c>
      <c r="B156" s="3">
        <v>75400000</v>
      </c>
      <c r="C156" s="3">
        <v>23797528</v>
      </c>
      <c r="D156" s="3">
        <v>42550000</v>
      </c>
      <c r="E156" s="3">
        <v>66347528</v>
      </c>
      <c r="F156" s="3">
        <v>9052472</v>
      </c>
      <c r="G156" s="3">
        <v>75400000</v>
      </c>
      <c r="H156" s="3">
        <v>23797528</v>
      </c>
      <c r="I156" s="3">
        <v>42550000</v>
      </c>
      <c r="J156" s="3">
        <v>66347528</v>
      </c>
      <c r="K156" s="3">
        <v>9052472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75400000</v>
      </c>
      <c r="AG156" s="3">
        <v>23797528</v>
      </c>
      <c r="AH156" s="3">
        <v>42550000</v>
      </c>
      <c r="AI156" s="3">
        <v>66347528</v>
      </c>
      <c r="AJ156" s="3">
        <v>9052472</v>
      </c>
      <c r="AK156" s="2" t="s">
        <v>471</v>
      </c>
      <c r="AL156" s="2" t="s">
        <v>472</v>
      </c>
      <c r="AM156" s="3">
        <f>VLOOKUP(AL156,Table1[],2,FALSE)</f>
        <v>0</v>
      </c>
      <c r="AN156" s="3">
        <f>VLOOKUP(AL156,Table1[],3,FALSE)</f>
        <v>0</v>
      </c>
      <c r="AO156" s="3">
        <f>VLOOKUP($AL156,Table1[],4,FALSE)</f>
        <v>0</v>
      </c>
      <c r="AP156" s="3">
        <f>VLOOKUP($AL156,Table1[],5,FALSE)</f>
        <v>0</v>
      </c>
      <c r="AQ156" s="3">
        <f>VLOOKUP($AL156,Table1[],6,FALSE)</f>
        <v>0</v>
      </c>
      <c r="AR156" s="3">
        <f>VLOOKUP($AL156,Table1[],7,FALSE)</f>
        <v>0</v>
      </c>
      <c r="AS156" s="3">
        <f>VLOOKUP($AL156,Table1[],8,FALSE)</f>
        <v>0</v>
      </c>
    </row>
    <row r="157" spans="1:45" x14ac:dyDescent="0.35">
      <c r="A157" s="2" t="s">
        <v>473</v>
      </c>
      <c r="B157" s="3">
        <v>9250000</v>
      </c>
      <c r="C157" s="3">
        <v>9250000</v>
      </c>
      <c r="D157" s="3">
        <v>0</v>
      </c>
      <c r="E157" s="3">
        <v>9250000</v>
      </c>
      <c r="F157" s="3">
        <v>0</v>
      </c>
      <c r="G157" s="3">
        <v>9250000</v>
      </c>
      <c r="H157" s="3">
        <v>9250000</v>
      </c>
      <c r="I157" s="3">
        <v>0</v>
      </c>
      <c r="J157" s="3">
        <v>9250000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9250000</v>
      </c>
      <c r="AG157" s="3">
        <v>9250000</v>
      </c>
      <c r="AH157" s="3">
        <v>0</v>
      </c>
      <c r="AI157" s="3">
        <v>9250000</v>
      </c>
      <c r="AJ157" s="3">
        <v>0</v>
      </c>
      <c r="AK157" s="2" t="s">
        <v>474</v>
      </c>
      <c r="AL157" s="2" t="s">
        <v>475</v>
      </c>
      <c r="AM157" s="3">
        <f>VLOOKUP(AL157,Table1[],2,FALSE)</f>
        <v>0</v>
      </c>
      <c r="AN157" s="3">
        <f>VLOOKUP(AL157,Table1[],3,FALSE)</f>
        <v>0</v>
      </c>
      <c r="AO157" s="3">
        <f>VLOOKUP($AL157,Table1[],4,FALSE)</f>
        <v>0</v>
      </c>
      <c r="AP157" s="3">
        <f>VLOOKUP($AL157,Table1[],5,FALSE)</f>
        <v>0</v>
      </c>
      <c r="AQ157" s="3">
        <f>VLOOKUP($AL157,Table1[],6,FALSE)</f>
        <v>0</v>
      </c>
      <c r="AR157" s="3">
        <f>VLOOKUP($AL157,Table1[],7,FALSE)</f>
        <v>0</v>
      </c>
      <c r="AS157" s="3">
        <f>VLOOKUP($AL157,Table1[],8,FALSE)</f>
        <v>0</v>
      </c>
    </row>
    <row r="158" spans="1:45" x14ac:dyDescent="0.35">
      <c r="A158" s="2" t="s">
        <v>476</v>
      </c>
      <c r="B158" s="3">
        <v>12934000</v>
      </c>
      <c r="C158" s="3">
        <v>11953725</v>
      </c>
      <c r="D158" s="3">
        <v>0</v>
      </c>
      <c r="E158" s="3">
        <v>11953725</v>
      </c>
      <c r="F158" s="3">
        <v>980275</v>
      </c>
      <c r="G158" s="3">
        <v>12934000</v>
      </c>
      <c r="H158" s="3">
        <v>11953725</v>
      </c>
      <c r="I158" s="3">
        <v>0</v>
      </c>
      <c r="J158" s="3">
        <v>11953725</v>
      </c>
      <c r="K158" s="3">
        <v>980275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12934000</v>
      </c>
      <c r="AG158" s="3">
        <v>11953725</v>
      </c>
      <c r="AH158" s="3">
        <v>0</v>
      </c>
      <c r="AI158" s="3">
        <v>11953725</v>
      </c>
      <c r="AJ158" s="3">
        <v>980275</v>
      </c>
      <c r="AK158" s="2" t="s">
        <v>477</v>
      </c>
      <c r="AL158" s="2" t="s">
        <v>478</v>
      </c>
      <c r="AM158" s="3">
        <f>VLOOKUP(AL158,Table1[],2,FALSE)</f>
        <v>0</v>
      </c>
      <c r="AN158" s="3">
        <f>VLOOKUP(AL158,Table1[],3,FALSE)</f>
        <v>0</v>
      </c>
      <c r="AO158" s="3">
        <f>VLOOKUP($AL158,Table1[],4,FALSE)</f>
        <v>0</v>
      </c>
      <c r="AP158" s="3">
        <f>VLOOKUP($AL158,Table1[],5,FALSE)</f>
        <v>0</v>
      </c>
      <c r="AQ158" s="3">
        <f>VLOOKUP($AL158,Table1[],6,FALSE)</f>
        <v>0</v>
      </c>
      <c r="AR158" s="3">
        <f>VLOOKUP($AL158,Table1[],7,FALSE)</f>
        <v>0</v>
      </c>
      <c r="AS158" s="3">
        <f>VLOOKUP($AL158,Table1[],8,FALSE)</f>
        <v>0</v>
      </c>
    </row>
    <row r="159" spans="1:45" x14ac:dyDescent="0.35">
      <c r="A159" s="2" t="s">
        <v>479</v>
      </c>
      <c r="B159" s="3">
        <v>1600000</v>
      </c>
      <c r="C159" s="3">
        <v>962273.09</v>
      </c>
      <c r="D159" s="3">
        <v>0</v>
      </c>
      <c r="E159" s="3">
        <v>962273.09</v>
      </c>
      <c r="F159" s="3">
        <v>637726.91</v>
      </c>
      <c r="G159" s="3">
        <v>1600000</v>
      </c>
      <c r="H159" s="3">
        <v>962273.09</v>
      </c>
      <c r="I159" s="3">
        <v>0</v>
      </c>
      <c r="J159" s="3">
        <v>962273.09</v>
      </c>
      <c r="K159" s="3">
        <v>637726.91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1600000</v>
      </c>
      <c r="AG159" s="3">
        <v>962273.09</v>
      </c>
      <c r="AH159" s="3">
        <v>0</v>
      </c>
      <c r="AI159" s="3">
        <v>962273.09</v>
      </c>
      <c r="AJ159" s="3">
        <v>637726.91</v>
      </c>
      <c r="AK159" s="2" t="s">
        <v>480</v>
      </c>
      <c r="AL159" s="2" t="s">
        <v>481</v>
      </c>
      <c r="AM159" s="3">
        <f>VLOOKUP(AL159,Table1[],2,FALSE)</f>
        <v>0</v>
      </c>
      <c r="AN159" s="3">
        <f>VLOOKUP(AL159,Table1[],3,FALSE)</f>
        <v>0</v>
      </c>
      <c r="AO159" s="3">
        <f>VLOOKUP($AL159,Table1[],4,FALSE)</f>
        <v>0</v>
      </c>
      <c r="AP159" s="3">
        <f>VLOOKUP($AL159,Table1[],5,FALSE)</f>
        <v>0</v>
      </c>
      <c r="AQ159" s="3">
        <f>VLOOKUP($AL159,Table1[],6,FALSE)</f>
        <v>0</v>
      </c>
      <c r="AR159" s="3">
        <f>VLOOKUP($AL159,Table1[],7,FALSE)</f>
        <v>0</v>
      </c>
      <c r="AS159" s="3">
        <f>VLOOKUP($AL159,Table1[],8,FALSE)</f>
        <v>0</v>
      </c>
    </row>
    <row r="160" spans="1:45" x14ac:dyDescent="0.35">
      <c r="A160" s="2" t="s">
        <v>482</v>
      </c>
      <c r="B160" s="3">
        <v>3000000</v>
      </c>
      <c r="C160" s="3">
        <v>0</v>
      </c>
      <c r="D160" s="3">
        <v>0</v>
      </c>
      <c r="E160" s="3">
        <v>0</v>
      </c>
      <c r="F160" s="3">
        <v>3000000</v>
      </c>
      <c r="G160" s="3">
        <v>3000000</v>
      </c>
      <c r="H160" s="3">
        <v>0</v>
      </c>
      <c r="I160" s="3">
        <v>0</v>
      </c>
      <c r="J160" s="3">
        <v>0</v>
      </c>
      <c r="K160" s="3">
        <v>3000000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3000000</v>
      </c>
      <c r="AG160" s="3">
        <v>0</v>
      </c>
      <c r="AH160" s="3">
        <v>0</v>
      </c>
      <c r="AI160" s="3">
        <v>0</v>
      </c>
      <c r="AJ160" s="3">
        <v>3000000</v>
      </c>
      <c r="AK160" s="2" t="s">
        <v>483</v>
      </c>
      <c r="AL160" s="2" t="s">
        <v>484</v>
      </c>
      <c r="AM160" s="3" t="e">
        <f>VLOOKUP(AL160,Table1[],2,FALSE)</f>
        <v>#N/A</v>
      </c>
      <c r="AN160" s="3" t="e">
        <f>VLOOKUP(AL160,Table1[],3,FALSE)</f>
        <v>#N/A</v>
      </c>
      <c r="AO160" s="3" t="e">
        <f>VLOOKUP($AL160,Table1[],4,FALSE)</f>
        <v>#N/A</v>
      </c>
      <c r="AP160" s="3" t="e">
        <f>VLOOKUP($AL160,Table1[],5,FALSE)</f>
        <v>#N/A</v>
      </c>
      <c r="AQ160" s="3" t="e">
        <f>VLOOKUP($AL160,Table1[],6,FALSE)</f>
        <v>#N/A</v>
      </c>
      <c r="AR160" s="3" t="e">
        <f>VLOOKUP($AL160,Table1[],7,FALSE)</f>
        <v>#N/A</v>
      </c>
      <c r="AS160" s="3" t="e">
        <f>VLOOKUP($AL160,Table1[],8,FALSE)</f>
        <v>#N/A</v>
      </c>
    </row>
    <row r="161" spans="1:45" x14ac:dyDescent="0.35">
      <c r="A161" s="2" t="s">
        <v>485</v>
      </c>
      <c r="B161" s="3">
        <v>7150000</v>
      </c>
      <c r="C161" s="3">
        <v>7109356.3399999999</v>
      </c>
      <c r="D161" s="3">
        <v>0</v>
      </c>
      <c r="E161" s="3">
        <v>7109356.3399999999</v>
      </c>
      <c r="F161" s="3">
        <v>40643.660000000003</v>
      </c>
      <c r="G161" s="3">
        <v>7150000</v>
      </c>
      <c r="H161" s="3">
        <v>7109356.3399999999</v>
      </c>
      <c r="I161" s="3">
        <v>0</v>
      </c>
      <c r="J161" s="3">
        <v>7109356.3399999999</v>
      </c>
      <c r="K161" s="3">
        <v>40643.660000000003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7150000</v>
      </c>
      <c r="AG161" s="3">
        <v>7109356.3399999999</v>
      </c>
      <c r="AH161" s="3">
        <v>0</v>
      </c>
      <c r="AI161" s="3">
        <v>7109356.3399999999</v>
      </c>
      <c r="AJ161" s="3">
        <v>40643.660000000003</v>
      </c>
      <c r="AK161" s="2" t="s">
        <v>486</v>
      </c>
      <c r="AL161" s="2" t="s">
        <v>487</v>
      </c>
      <c r="AM161" s="3">
        <f>VLOOKUP(AL161,Table1[],2,FALSE)</f>
        <v>0</v>
      </c>
      <c r="AN161" s="3">
        <f>VLOOKUP(AL161,Table1[],3,FALSE)</f>
        <v>0</v>
      </c>
      <c r="AO161" s="3">
        <f>VLOOKUP($AL161,Table1[],4,FALSE)</f>
        <v>0</v>
      </c>
      <c r="AP161" s="3">
        <f>VLOOKUP($AL161,Table1[],5,FALSE)</f>
        <v>0</v>
      </c>
      <c r="AQ161" s="3">
        <f>VLOOKUP($AL161,Table1[],6,FALSE)</f>
        <v>0</v>
      </c>
      <c r="AR161" s="3">
        <f>VLOOKUP($AL161,Table1[],7,FALSE)</f>
        <v>0</v>
      </c>
      <c r="AS161" s="3">
        <f>VLOOKUP($AL161,Table1[],8,FALSE)</f>
        <v>0</v>
      </c>
    </row>
    <row r="162" spans="1:45" x14ac:dyDescent="0.35">
      <c r="A162" s="2" t="s">
        <v>488</v>
      </c>
      <c r="B162" s="3">
        <v>7000000</v>
      </c>
      <c r="C162" s="3">
        <v>7000000</v>
      </c>
      <c r="D162" s="3">
        <v>0</v>
      </c>
      <c r="E162" s="3">
        <v>7000000</v>
      </c>
      <c r="F162" s="3">
        <v>0</v>
      </c>
      <c r="G162" s="3">
        <v>7000000</v>
      </c>
      <c r="H162" s="3">
        <v>7000000</v>
      </c>
      <c r="I162" s="3">
        <v>0</v>
      </c>
      <c r="J162" s="3">
        <v>7000000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7000000</v>
      </c>
      <c r="AG162" s="3">
        <v>7000000</v>
      </c>
      <c r="AH162" s="3">
        <v>0</v>
      </c>
      <c r="AI162" s="3">
        <v>7000000</v>
      </c>
      <c r="AJ162" s="3">
        <v>0</v>
      </c>
      <c r="AK162" s="2" t="s">
        <v>489</v>
      </c>
      <c r="AL162" s="2" t="s">
        <v>490</v>
      </c>
      <c r="AM162" s="3">
        <f>VLOOKUP(AL162,Table1[],2,FALSE)</f>
        <v>0</v>
      </c>
      <c r="AN162" s="3">
        <f>VLOOKUP(AL162,Table1[],3,FALSE)</f>
        <v>0</v>
      </c>
      <c r="AO162" s="3">
        <f>VLOOKUP($AL162,Table1[],4,FALSE)</f>
        <v>0</v>
      </c>
      <c r="AP162" s="3">
        <f>VLOOKUP($AL162,Table1[],5,FALSE)</f>
        <v>0</v>
      </c>
      <c r="AQ162" s="3">
        <f>VLOOKUP($AL162,Table1[],6,FALSE)</f>
        <v>0</v>
      </c>
      <c r="AR162" s="3">
        <f>VLOOKUP($AL162,Table1[],7,FALSE)</f>
        <v>0</v>
      </c>
      <c r="AS162" s="3">
        <f>VLOOKUP($AL162,Table1[],8,FALSE)</f>
        <v>0</v>
      </c>
    </row>
    <row r="163" spans="1:45" x14ac:dyDescent="0.35">
      <c r="A163" s="2" t="s">
        <v>491</v>
      </c>
      <c r="B163" s="3">
        <v>1500000</v>
      </c>
      <c r="C163" s="3">
        <v>600000</v>
      </c>
      <c r="D163" s="3">
        <v>900000</v>
      </c>
      <c r="E163" s="3">
        <v>1500000</v>
      </c>
      <c r="F163" s="3">
        <v>0</v>
      </c>
      <c r="G163" s="3">
        <v>1500000</v>
      </c>
      <c r="H163" s="3">
        <v>600000</v>
      </c>
      <c r="I163" s="3">
        <v>900000</v>
      </c>
      <c r="J163" s="3">
        <v>1500000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1500000</v>
      </c>
      <c r="AG163" s="3">
        <v>600000</v>
      </c>
      <c r="AH163" s="3">
        <v>900000</v>
      </c>
      <c r="AI163" s="3">
        <v>1500000</v>
      </c>
      <c r="AJ163" s="3">
        <v>0</v>
      </c>
      <c r="AK163" s="2" t="s">
        <v>492</v>
      </c>
      <c r="AL163" s="2" t="s">
        <v>493</v>
      </c>
      <c r="AM163" s="3">
        <f>VLOOKUP(AL163,Table1[],2,FALSE)</f>
        <v>0</v>
      </c>
      <c r="AN163" s="3">
        <f>VLOOKUP(AL163,Table1[],3,FALSE)</f>
        <v>0</v>
      </c>
      <c r="AO163" s="3">
        <f>VLOOKUP($AL163,Table1[],4,FALSE)</f>
        <v>0</v>
      </c>
      <c r="AP163" s="3">
        <f>VLOOKUP($AL163,Table1[],5,FALSE)</f>
        <v>0</v>
      </c>
      <c r="AQ163" s="3">
        <f>VLOOKUP($AL163,Table1[],6,FALSE)</f>
        <v>0</v>
      </c>
      <c r="AR163" s="3">
        <f>VLOOKUP($AL163,Table1[],7,FALSE)</f>
        <v>0</v>
      </c>
      <c r="AS163" s="3">
        <f>VLOOKUP($AL163,Table1[],8,FALSE)</f>
        <v>0</v>
      </c>
    </row>
    <row r="164" spans="1:45" x14ac:dyDescent="0.35">
      <c r="A164" s="2" t="s">
        <v>494</v>
      </c>
      <c r="B164" s="3">
        <v>2000000</v>
      </c>
      <c r="C164" s="3">
        <v>0</v>
      </c>
      <c r="D164" s="3">
        <v>0</v>
      </c>
      <c r="E164" s="3">
        <v>0</v>
      </c>
      <c r="F164" s="3">
        <v>2000000</v>
      </c>
      <c r="G164" s="3">
        <v>2000000</v>
      </c>
      <c r="H164" s="3">
        <v>0</v>
      </c>
      <c r="I164" s="3">
        <v>0</v>
      </c>
      <c r="J164" s="3">
        <v>0</v>
      </c>
      <c r="K164" s="3">
        <v>2000000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2000000</v>
      </c>
      <c r="AG164" s="3">
        <v>0</v>
      </c>
      <c r="AH164" s="3">
        <v>0</v>
      </c>
      <c r="AI164" s="3">
        <v>0</v>
      </c>
      <c r="AJ164" s="3">
        <v>2000000</v>
      </c>
      <c r="AK164" s="2" t="s">
        <v>495</v>
      </c>
      <c r="AL164" s="2" t="s">
        <v>496</v>
      </c>
      <c r="AM164" s="3" t="e">
        <f>VLOOKUP(AL164,Table1[],2,FALSE)</f>
        <v>#N/A</v>
      </c>
      <c r="AN164" s="3" t="e">
        <f>VLOOKUP(AL164,Table1[],3,FALSE)</f>
        <v>#N/A</v>
      </c>
      <c r="AO164" s="3" t="e">
        <f>VLOOKUP($AL164,Table1[],4,FALSE)</f>
        <v>#N/A</v>
      </c>
      <c r="AP164" s="3" t="e">
        <f>VLOOKUP($AL164,Table1[],5,FALSE)</f>
        <v>#N/A</v>
      </c>
      <c r="AQ164" s="3" t="e">
        <f>VLOOKUP($AL164,Table1[],6,FALSE)</f>
        <v>#N/A</v>
      </c>
      <c r="AR164" s="3" t="e">
        <f>VLOOKUP($AL164,Table1[],7,FALSE)</f>
        <v>#N/A</v>
      </c>
      <c r="AS164" s="3" t="e">
        <f>VLOOKUP($AL164,Table1[],8,FALSE)</f>
        <v>#N/A</v>
      </c>
    </row>
    <row r="165" spans="1:45" x14ac:dyDescent="0.35">
      <c r="A165" s="2" t="s">
        <v>497</v>
      </c>
      <c r="B165" s="3">
        <v>5800000</v>
      </c>
      <c r="C165" s="3">
        <v>1736449.99</v>
      </c>
      <c r="D165" s="3">
        <v>3987770.36</v>
      </c>
      <c r="E165" s="3">
        <v>5724220.3499999996</v>
      </c>
      <c r="F165" s="3">
        <v>75779.649999999994</v>
      </c>
      <c r="G165" s="3">
        <v>5800000</v>
      </c>
      <c r="H165" s="3">
        <v>1736449.99</v>
      </c>
      <c r="I165" s="3">
        <v>3987770.36</v>
      </c>
      <c r="J165" s="3">
        <v>5724220.3499999996</v>
      </c>
      <c r="K165" s="3">
        <v>75779.649999999994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5800000</v>
      </c>
      <c r="AG165" s="3">
        <v>1736449.99</v>
      </c>
      <c r="AH165" s="3">
        <v>3987770.36</v>
      </c>
      <c r="AI165" s="3">
        <v>5724220.3499999996</v>
      </c>
      <c r="AJ165" s="3">
        <v>75779.649999999994</v>
      </c>
      <c r="AK165" s="2" t="s">
        <v>498</v>
      </c>
      <c r="AL165" s="2" t="s">
        <v>499</v>
      </c>
      <c r="AM165" s="3">
        <f>VLOOKUP(AL165,Table1[],2,FALSE)</f>
        <v>0</v>
      </c>
      <c r="AN165" s="3">
        <f>VLOOKUP(AL165,Table1[],3,FALSE)</f>
        <v>0</v>
      </c>
      <c r="AO165" s="3">
        <f>VLOOKUP($AL165,Table1[],4,FALSE)</f>
        <v>0</v>
      </c>
      <c r="AP165" s="3">
        <f>VLOOKUP($AL165,Table1[],5,FALSE)</f>
        <v>0</v>
      </c>
      <c r="AQ165" s="3">
        <f>VLOOKUP($AL165,Table1[],6,FALSE)</f>
        <v>0</v>
      </c>
      <c r="AR165" s="3">
        <f>VLOOKUP($AL165,Table1[],7,FALSE)</f>
        <v>0</v>
      </c>
      <c r="AS165" s="3">
        <f>VLOOKUP($AL165,Table1[],8,FALSE)</f>
        <v>0</v>
      </c>
    </row>
    <row r="166" spans="1:45" x14ac:dyDescent="0.35">
      <c r="A166" s="2" t="s">
        <v>500</v>
      </c>
      <c r="B166" s="3">
        <v>6000000</v>
      </c>
      <c r="C166" s="3">
        <v>1330560.17</v>
      </c>
      <c r="D166" s="3">
        <v>3793880.14</v>
      </c>
      <c r="E166" s="3">
        <v>5124440.3099999996</v>
      </c>
      <c r="F166" s="3">
        <v>875559.69</v>
      </c>
      <c r="G166" s="3">
        <v>6000000</v>
      </c>
      <c r="H166" s="3">
        <v>1330560.17</v>
      </c>
      <c r="I166" s="3">
        <v>3793880.14</v>
      </c>
      <c r="J166" s="3">
        <v>5124440.3099999996</v>
      </c>
      <c r="K166" s="3">
        <v>875559.69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6000000</v>
      </c>
      <c r="AG166" s="3">
        <v>1330560.17</v>
      </c>
      <c r="AH166" s="3">
        <v>3793880.14</v>
      </c>
      <c r="AI166" s="3">
        <v>5124440.3099999996</v>
      </c>
      <c r="AJ166" s="3">
        <v>875559.69</v>
      </c>
      <c r="AK166" s="2" t="s">
        <v>501</v>
      </c>
      <c r="AL166" s="2" t="s">
        <v>502</v>
      </c>
      <c r="AM166" s="3">
        <f>VLOOKUP(AL166,Table1[],2,FALSE)</f>
        <v>0</v>
      </c>
      <c r="AN166" s="3">
        <f>VLOOKUP(AL166,Table1[],3,FALSE)</f>
        <v>0</v>
      </c>
      <c r="AO166" s="3">
        <f>VLOOKUP($AL166,Table1[],4,FALSE)</f>
        <v>0</v>
      </c>
      <c r="AP166" s="3">
        <f>VLOOKUP($AL166,Table1[],5,FALSE)</f>
        <v>0</v>
      </c>
      <c r="AQ166" s="3">
        <f>VLOOKUP($AL166,Table1[],6,FALSE)</f>
        <v>0</v>
      </c>
      <c r="AR166" s="3">
        <f>VLOOKUP($AL166,Table1[],7,FALSE)</f>
        <v>0</v>
      </c>
      <c r="AS166" s="3">
        <f>VLOOKUP($AL166,Table1[],8,FALSE)</f>
        <v>0</v>
      </c>
    </row>
    <row r="167" spans="1:45" x14ac:dyDescent="0.35">
      <c r="A167" s="2" t="s">
        <v>503</v>
      </c>
      <c r="B167" s="3">
        <v>17600000</v>
      </c>
      <c r="C167" s="3">
        <v>5433343.9199999999</v>
      </c>
      <c r="D167" s="3">
        <v>2282181.87</v>
      </c>
      <c r="E167" s="3">
        <v>7715525.79</v>
      </c>
      <c r="F167" s="3">
        <v>9884474.2100000009</v>
      </c>
      <c r="G167" s="3">
        <v>17600000</v>
      </c>
      <c r="H167" s="3">
        <v>5433343.9199999999</v>
      </c>
      <c r="I167" s="3">
        <v>2282181.87</v>
      </c>
      <c r="J167" s="3">
        <v>7715525.79</v>
      </c>
      <c r="K167" s="3">
        <v>9884474.2100000009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17600000</v>
      </c>
      <c r="AG167" s="3">
        <v>5433343.9199999999</v>
      </c>
      <c r="AH167" s="3">
        <v>2282181.87</v>
      </c>
      <c r="AI167" s="3">
        <v>7715525.79</v>
      </c>
      <c r="AJ167" s="3">
        <v>9884474.2100000009</v>
      </c>
      <c r="AK167" s="2" t="s">
        <v>504</v>
      </c>
      <c r="AL167" s="2" t="s">
        <v>505</v>
      </c>
      <c r="AM167" s="3">
        <f>VLOOKUP(AL167,Table1[],2,FALSE)</f>
        <v>0</v>
      </c>
      <c r="AN167" s="3">
        <f>VLOOKUP(AL167,Table1[],3,FALSE)</f>
        <v>0</v>
      </c>
      <c r="AO167" s="3">
        <f>VLOOKUP($AL167,Table1[],4,FALSE)</f>
        <v>0</v>
      </c>
      <c r="AP167" s="3">
        <f>VLOOKUP($AL167,Table1[],5,FALSE)</f>
        <v>0</v>
      </c>
      <c r="AQ167" s="3">
        <f>VLOOKUP($AL167,Table1[],6,FALSE)</f>
        <v>0</v>
      </c>
      <c r="AR167" s="3">
        <f>VLOOKUP($AL167,Table1[],7,FALSE)</f>
        <v>0</v>
      </c>
      <c r="AS167" s="3">
        <f>VLOOKUP($AL167,Table1[],8,FALSE)</f>
        <v>0</v>
      </c>
    </row>
    <row r="168" spans="1:45" x14ac:dyDescent="0.35">
      <c r="A168" s="2" t="s">
        <v>506</v>
      </c>
      <c r="B168" s="3">
        <v>1000000</v>
      </c>
      <c r="C168" s="3">
        <v>940716.28</v>
      </c>
      <c r="D168" s="3">
        <v>0</v>
      </c>
      <c r="E168" s="3">
        <v>940716.28</v>
      </c>
      <c r="F168" s="3">
        <v>59283.72</v>
      </c>
      <c r="G168" s="3">
        <v>1000000</v>
      </c>
      <c r="H168" s="3">
        <v>940716.28</v>
      </c>
      <c r="I168" s="3">
        <v>0</v>
      </c>
      <c r="J168" s="3">
        <v>940716.28</v>
      </c>
      <c r="K168" s="3">
        <v>59283.72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1000000</v>
      </c>
      <c r="AG168" s="3">
        <v>940716.28</v>
      </c>
      <c r="AH168" s="3">
        <v>0</v>
      </c>
      <c r="AI168" s="3">
        <v>940716.28</v>
      </c>
      <c r="AJ168" s="3">
        <v>59283.72</v>
      </c>
      <c r="AK168" s="2" t="s">
        <v>507</v>
      </c>
      <c r="AL168" s="2" t="s">
        <v>508</v>
      </c>
      <c r="AM168" s="3">
        <f>VLOOKUP(AL168,Table1[],2,FALSE)</f>
        <v>0</v>
      </c>
      <c r="AN168" s="3">
        <f>VLOOKUP(AL168,Table1[],3,FALSE)</f>
        <v>0</v>
      </c>
      <c r="AO168" s="3">
        <f>VLOOKUP($AL168,Table1[],4,FALSE)</f>
        <v>0</v>
      </c>
      <c r="AP168" s="3">
        <f>VLOOKUP($AL168,Table1[],5,FALSE)</f>
        <v>0</v>
      </c>
      <c r="AQ168" s="3">
        <f>VLOOKUP($AL168,Table1[],6,FALSE)</f>
        <v>0</v>
      </c>
      <c r="AR168" s="3">
        <f>VLOOKUP($AL168,Table1[],7,FALSE)</f>
        <v>0</v>
      </c>
      <c r="AS168" s="3">
        <f>VLOOKUP($AL168,Table1[],8,FALSE)</f>
        <v>0</v>
      </c>
    </row>
    <row r="169" spans="1:45" x14ac:dyDescent="0.35">
      <c r="A169" s="2" t="s">
        <v>509</v>
      </c>
      <c r="B169" s="3">
        <v>600000</v>
      </c>
      <c r="C169" s="3">
        <v>489063.05</v>
      </c>
      <c r="D169" s="3">
        <v>0</v>
      </c>
      <c r="E169" s="3">
        <v>489063.05</v>
      </c>
      <c r="F169" s="3">
        <v>110936.95</v>
      </c>
      <c r="G169" s="3">
        <v>600000</v>
      </c>
      <c r="H169" s="3">
        <v>489063.05</v>
      </c>
      <c r="I169" s="3">
        <v>0</v>
      </c>
      <c r="J169" s="3">
        <v>489063.05</v>
      </c>
      <c r="K169" s="3">
        <v>110936.95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600000</v>
      </c>
      <c r="AG169" s="3">
        <v>489063.05</v>
      </c>
      <c r="AH169" s="3">
        <v>0</v>
      </c>
      <c r="AI169" s="3">
        <v>489063.05</v>
      </c>
      <c r="AJ169" s="3">
        <v>110936.95</v>
      </c>
      <c r="AK169" s="2" t="s">
        <v>510</v>
      </c>
      <c r="AL169" s="2" t="s">
        <v>511</v>
      </c>
      <c r="AM169" s="3">
        <f>VLOOKUP(AL169,Table1[],2,FALSE)</f>
        <v>0</v>
      </c>
      <c r="AN169" s="3">
        <f>VLOOKUP(AL169,Table1[],3,FALSE)</f>
        <v>0</v>
      </c>
      <c r="AO169" s="3">
        <f>VLOOKUP($AL169,Table1[],4,FALSE)</f>
        <v>0</v>
      </c>
      <c r="AP169" s="3">
        <f>VLOOKUP($AL169,Table1[],5,FALSE)</f>
        <v>0</v>
      </c>
      <c r="AQ169" s="3">
        <f>VLOOKUP($AL169,Table1[],6,FALSE)</f>
        <v>0</v>
      </c>
      <c r="AR169" s="3">
        <f>VLOOKUP($AL169,Table1[],7,FALSE)</f>
        <v>0</v>
      </c>
      <c r="AS169" s="3">
        <f>VLOOKUP($AL169,Table1[],8,FALSE)</f>
        <v>0</v>
      </c>
    </row>
    <row r="170" spans="1:45" x14ac:dyDescent="0.35">
      <c r="A170" s="2" t="s">
        <v>512</v>
      </c>
      <c r="B170" s="3">
        <v>23650000</v>
      </c>
      <c r="C170" s="3">
        <v>21198557.859999999</v>
      </c>
      <c r="D170" s="3">
        <v>0</v>
      </c>
      <c r="E170" s="3">
        <v>21198557.859999999</v>
      </c>
      <c r="F170" s="3">
        <v>2451442.14</v>
      </c>
      <c r="G170" s="3">
        <v>23650000</v>
      </c>
      <c r="H170" s="3">
        <v>21198557.859999999</v>
      </c>
      <c r="I170" s="3">
        <v>0</v>
      </c>
      <c r="J170" s="3">
        <v>21198557.859999999</v>
      </c>
      <c r="K170" s="3">
        <v>2451442.14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23650000</v>
      </c>
      <c r="AG170" s="3">
        <v>21198557.859999999</v>
      </c>
      <c r="AH170" s="3">
        <v>0</v>
      </c>
      <c r="AI170" s="3">
        <v>21198557.859999999</v>
      </c>
      <c r="AJ170" s="3">
        <v>2451442.14</v>
      </c>
      <c r="AK170" s="2" t="s">
        <v>513</v>
      </c>
      <c r="AL170" s="2" t="s">
        <v>514</v>
      </c>
      <c r="AM170" s="3">
        <f>VLOOKUP(AL170,Table1[],2,FALSE)</f>
        <v>0</v>
      </c>
      <c r="AN170" s="3">
        <f>VLOOKUP(AL170,Table1[],3,FALSE)</f>
        <v>0</v>
      </c>
      <c r="AO170" s="3">
        <f>VLOOKUP($AL170,Table1[],4,FALSE)</f>
        <v>0</v>
      </c>
      <c r="AP170" s="3">
        <f>VLOOKUP($AL170,Table1[],5,FALSE)</f>
        <v>0</v>
      </c>
      <c r="AQ170" s="3">
        <f>VLOOKUP($AL170,Table1[],6,FALSE)</f>
        <v>0</v>
      </c>
      <c r="AR170" s="3">
        <f>VLOOKUP($AL170,Table1[],7,FALSE)</f>
        <v>0</v>
      </c>
      <c r="AS170" s="3">
        <f>VLOOKUP($AL170,Table1[],8,FALSE)</f>
        <v>0</v>
      </c>
    </row>
    <row r="171" spans="1:45" x14ac:dyDescent="0.35">
      <c r="A171" s="2" t="s">
        <v>515</v>
      </c>
      <c r="B171" s="3">
        <v>1500000</v>
      </c>
      <c r="C171" s="3">
        <v>0</v>
      </c>
      <c r="D171" s="3">
        <v>1344805.92</v>
      </c>
      <c r="E171" s="3">
        <v>1344805.92</v>
      </c>
      <c r="F171" s="3">
        <v>155194.07999999999</v>
      </c>
      <c r="G171" s="3">
        <v>1500000</v>
      </c>
      <c r="H171" s="3">
        <v>0</v>
      </c>
      <c r="I171" s="3">
        <v>1344805.92</v>
      </c>
      <c r="J171" s="3">
        <v>1344805.92</v>
      </c>
      <c r="K171" s="3">
        <v>155194.07999999999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1500000</v>
      </c>
      <c r="AG171" s="3">
        <v>0</v>
      </c>
      <c r="AH171" s="3">
        <v>1344805.92</v>
      </c>
      <c r="AI171" s="3">
        <v>1344805.92</v>
      </c>
      <c r="AJ171" s="3">
        <v>155194.07999999999</v>
      </c>
      <c r="AK171" s="2" t="s">
        <v>516</v>
      </c>
      <c r="AL171" s="2" t="s">
        <v>517</v>
      </c>
      <c r="AM171" s="3" t="e">
        <f>VLOOKUP(AL171,Table1[],2,FALSE)</f>
        <v>#N/A</v>
      </c>
      <c r="AN171" s="3" t="e">
        <f>VLOOKUP(AL171,Table1[],3,FALSE)</f>
        <v>#N/A</v>
      </c>
      <c r="AO171" s="3" t="e">
        <f>VLOOKUP($AL171,Table1[],4,FALSE)</f>
        <v>#N/A</v>
      </c>
      <c r="AP171" s="3" t="e">
        <f>VLOOKUP($AL171,Table1[],5,FALSE)</f>
        <v>#N/A</v>
      </c>
      <c r="AQ171" s="3" t="e">
        <f>VLOOKUP($AL171,Table1[],6,FALSE)</f>
        <v>#N/A</v>
      </c>
      <c r="AR171" s="3" t="e">
        <f>VLOOKUP($AL171,Table1[],7,FALSE)</f>
        <v>#N/A</v>
      </c>
      <c r="AS171" s="3" t="e">
        <f>VLOOKUP($AL171,Table1[],8,FALSE)</f>
        <v>#N/A</v>
      </c>
    </row>
    <row r="172" spans="1:45" x14ac:dyDescent="0.35">
      <c r="A172" s="2" t="s">
        <v>518</v>
      </c>
      <c r="B172" s="3">
        <v>3000000</v>
      </c>
      <c r="C172" s="3">
        <v>0</v>
      </c>
      <c r="D172" s="3">
        <v>0</v>
      </c>
      <c r="E172" s="3">
        <v>0</v>
      </c>
      <c r="F172" s="3">
        <v>3000000</v>
      </c>
      <c r="G172" s="3">
        <v>3000000</v>
      </c>
      <c r="H172" s="3">
        <v>0</v>
      </c>
      <c r="I172" s="3">
        <v>0</v>
      </c>
      <c r="J172" s="3">
        <v>0</v>
      </c>
      <c r="K172" s="3">
        <v>3000000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3000000</v>
      </c>
      <c r="AG172" s="3">
        <v>0</v>
      </c>
      <c r="AH172" s="3">
        <v>0</v>
      </c>
      <c r="AI172" s="3">
        <v>0</v>
      </c>
      <c r="AJ172" s="3">
        <v>3000000</v>
      </c>
      <c r="AK172" s="2" t="s">
        <v>519</v>
      </c>
      <c r="AL172" s="2" t="s">
        <v>520</v>
      </c>
      <c r="AM172" s="3" t="e">
        <f>VLOOKUP(AL172,Table1[],2,FALSE)</f>
        <v>#N/A</v>
      </c>
      <c r="AN172" s="3" t="e">
        <f>VLOOKUP(AL172,Table1[],3,FALSE)</f>
        <v>#N/A</v>
      </c>
      <c r="AO172" s="3" t="e">
        <f>VLOOKUP($AL172,Table1[],4,FALSE)</f>
        <v>#N/A</v>
      </c>
      <c r="AP172" s="3" t="e">
        <f>VLOOKUP($AL172,Table1[],5,FALSE)</f>
        <v>#N/A</v>
      </c>
      <c r="AQ172" s="3" t="e">
        <f>VLOOKUP($AL172,Table1[],6,FALSE)</f>
        <v>#N/A</v>
      </c>
      <c r="AR172" s="3" t="e">
        <f>VLOOKUP($AL172,Table1[],7,FALSE)</f>
        <v>#N/A</v>
      </c>
      <c r="AS172" s="3" t="e">
        <f>VLOOKUP($AL172,Table1[],8,FALSE)</f>
        <v>#N/A</v>
      </c>
    </row>
    <row r="173" spans="1:45" x14ac:dyDescent="0.35">
      <c r="A173" s="2" t="s">
        <v>521</v>
      </c>
      <c r="B173" s="3">
        <v>500000</v>
      </c>
      <c r="C173" s="3">
        <v>445250</v>
      </c>
      <c r="D173" s="3">
        <v>33000</v>
      </c>
      <c r="E173" s="3">
        <v>478250</v>
      </c>
      <c r="F173" s="3">
        <v>21750</v>
      </c>
      <c r="G173" s="3">
        <v>500000</v>
      </c>
      <c r="H173" s="3">
        <v>445250</v>
      </c>
      <c r="I173" s="3">
        <v>33000</v>
      </c>
      <c r="J173" s="3">
        <v>478250</v>
      </c>
      <c r="K173" s="3">
        <v>21750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500000</v>
      </c>
      <c r="AG173" s="3">
        <v>445250</v>
      </c>
      <c r="AH173" s="3">
        <v>33000</v>
      </c>
      <c r="AI173" s="3">
        <v>478250</v>
      </c>
      <c r="AJ173" s="3">
        <v>21750</v>
      </c>
      <c r="AK173" s="2" t="s">
        <v>522</v>
      </c>
      <c r="AL173" s="2" t="s">
        <v>523</v>
      </c>
      <c r="AM173" s="3">
        <f>VLOOKUP(AL173,Table1[],2,FALSE)</f>
        <v>0</v>
      </c>
      <c r="AN173" s="3">
        <f>VLOOKUP(AL173,Table1[],3,FALSE)</f>
        <v>0</v>
      </c>
      <c r="AO173" s="3">
        <f>VLOOKUP($AL173,Table1[],4,FALSE)</f>
        <v>0</v>
      </c>
      <c r="AP173" s="3">
        <f>VLOOKUP($AL173,Table1[],5,FALSE)</f>
        <v>0</v>
      </c>
      <c r="AQ173" s="3">
        <f>VLOOKUP($AL173,Table1[],6,FALSE)</f>
        <v>0</v>
      </c>
      <c r="AR173" s="3">
        <f>VLOOKUP($AL173,Table1[],7,FALSE)</f>
        <v>0</v>
      </c>
      <c r="AS173" s="3">
        <f>VLOOKUP($AL173,Table1[],8,FALSE)</f>
        <v>0</v>
      </c>
    </row>
    <row r="174" spans="1:45" x14ac:dyDescent="0.35">
      <c r="A174" s="2" t="s">
        <v>524</v>
      </c>
      <c r="B174" s="3">
        <v>9000000</v>
      </c>
      <c r="C174" s="3">
        <v>4872361.37</v>
      </c>
      <c r="D174" s="3">
        <v>1289659.67</v>
      </c>
      <c r="E174" s="3">
        <v>6162021.04</v>
      </c>
      <c r="F174" s="3">
        <v>2837978.96</v>
      </c>
      <c r="G174" s="3">
        <v>9000000</v>
      </c>
      <c r="H174" s="3">
        <v>4872361.37</v>
      </c>
      <c r="I174" s="3">
        <v>1289659.67</v>
      </c>
      <c r="J174" s="3">
        <v>6162021.04</v>
      </c>
      <c r="K174" s="3">
        <v>2837978.96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9000000</v>
      </c>
      <c r="AG174" s="3">
        <v>4872361.37</v>
      </c>
      <c r="AH174" s="3">
        <v>1289659.67</v>
      </c>
      <c r="AI174" s="3">
        <v>6162021.04</v>
      </c>
      <c r="AJ174" s="3">
        <v>2837978.96</v>
      </c>
      <c r="AK174" s="2" t="s">
        <v>525</v>
      </c>
      <c r="AL174" s="2" t="s">
        <v>526</v>
      </c>
      <c r="AM174" s="3">
        <f>VLOOKUP(AL174,Table1[],2,FALSE)</f>
        <v>0</v>
      </c>
      <c r="AN174" s="3">
        <f>VLOOKUP(AL174,Table1[],3,FALSE)</f>
        <v>0</v>
      </c>
      <c r="AO174" s="3">
        <f>VLOOKUP($AL174,Table1[],4,FALSE)</f>
        <v>0</v>
      </c>
      <c r="AP174" s="3">
        <f>VLOOKUP($AL174,Table1[],5,FALSE)</f>
        <v>0</v>
      </c>
      <c r="AQ174" s="3">
        <f>VLOOKUP($AL174,Table1[],6,FALSE)</f>
        <v>0</v>
      </c>
      <c r="AR174" s="3">
        <f>VLOOKUP($AL174,Table1[],7,FALSE)</f>
        <v>0</v>
      </c>
      <c r="AS174" s="3">
        <f>VLOOKUP($AL174,Table1[],8,FALSE)</f>
        <v>0</v>
      </c>
    </row>
    <row r="175" spans="1:45" x14ac:dyDescent="0.35">
      <c r="A175" s="2" t="s">
        <v>527</v>
      </c>
      <c r="B175" s="3">
        <v>2175000</v>
      </c>
      <c r="C175" s="3">
        <v>0</v>
      </c>
      <c r="D175" s="3">
        <v>0</v>
      </c>
      <c r="E175" s="3">
        <v>0</v>
      </c>
      <c r="F175" s="3">
        <v>2175000</v>
      </c>
      <c r="G175" s="3">
        <v>2175000</v>
      </c>
      <c r="H175" s="3">
        <v>0</v>
      </c>
      <c r="I175" s="3">
        <v>0</v>
      </c>
      <c r="J175" s="3">
        <v>0</v>
      </c>
      <c r="K175" s="3">
        <v>2175000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2175000</v>
      </c>
      <c r="AG175" s="3">
        <v>0</v>
      </c>
      <c r="AH175" s="3">
        <v>0</v>
      </c>
      <c r="AI175" s="3">
        <v>0</v>
      </c>
      <c r="AJ175" s="3">
        <v>2175000</v>
      </c>
      <c r="AK175" s="2" t="s">
        <v>528</v>
      </c>
      <c r="AL175" s="2" t="s">
        <v>529</v>
      </c>
      <c r="AM175" s="3" t="e">
        <f>VLOOKUP(AL175,Table1[],2,FALSE)</f>
        <v>#N/A</v>
      </c>
      <c r="AN175" s="3" t="e">
        <f>VLOOKUP(AL175,Table1[],3,FALSE)</f>
        <v>#N/A</v>
      </c>
      <c r="AO175" s="3" t="e">
        <f>VLOOKUP($AL175,Table1[],4,FALSE)</f>
        <v>#N/A</v>
      </c>
      <c r="AP175" s="3" t="e">
        <f>VLOOKUP($AL175,Table1[],5,FALSE)</f>
        <v>#N/A</v>
      </c>
      <c r="AQ175" s="3" t="e">
        <f>VLOOKUP($AL175,Table1[],6,FALSE)</f>
        <v>#N/A</v>
      </c>
      <c r="AR175" s="3" t="e">
        <f>VLOOKUP($AL175,Table1[],7,FALSE)</f>
        <v>#N/A</v>
      </c>
      <c r="AS175" s="3" t="e">
        <f>VLOOKUP($AL175,Table1[],8,FALSE)</f>
        <v>#N/A</v>
      </c>
    </row>
    <row r="176" spans="1:45" x14ac:dyDescent="0.35">
      <c r="A176" s="2" t="s">
        <v>530</v>
      </c>
      <c r="B176" s="3">
        <v>500000</v>
      </c>
      <c r="C176" s="3">
        <v>0</v>
      </c>
      <c r="D176" s="3">
        <v>0</v>
      </c>
      <c r="E176" s="3">
        <v>0</v>
      </c>
      <c r="F176" s="3">
        <v>500000</v>
      </c>
      <c r="G176" s="3">
        <v>500000</v>
      </c>
      <c r="H176" s="3">
        <v>0</v>
      </c>
      <c r="I176" s="3">
        <v>0</v>
      </c>
      <c r="J176" s="3">
        <v>0</v>
      </c>
      <c r="K176" s="3">
        <v>500000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500000</v>
      </c>
      <c r="AG176" s="3">
        <v>0</v>
      </c>
      <c r="AH176" s="3">
        <v>0</v>
      </c>
      <c r="AI176" s="3">
        <v>0</v>
      </c>
      <c r="AJ176" s="3">
        <v>500000</v>
      </c>
      <c r="AK176" s="2" t="s">
        <v>531</v>
      </c>
      <c r="AL176" s="2" t="s">
        <v>532</v>
      </c>
      <c r="AM176" s="3">
        <f>VLOOKUP(AL176,Table1[],2,FALSE)</f>
        <v>0</v>
      </c>
      <c r="AN176" s="3">
        <f>VLOOKUP(AL176,Table1[],3,FALSE)</f>
        <v>0</v>
      </c>
      <c r="AO176" s="3">
        <f>VLOOKUP($AL176,Table1[],4,FALSE)</f>
        <v>0</v>
      </c>
      <c r="AP176" s="3">
        <f>VLOOKUP($AL176,Table1[],5,FALSE)</f>
        <v>0</v>
      </c>
      <c r="AQ176" s="3">
        <f>VLOOKUP($AL176,Table1[],6,FALSE)</f>
        <v>0</v>
      </c>
      <c r="AR176" s="3">
        <f>VLOOKUP($AL176,Table1[],7,FALSE)</f>
        <v>0</v>
      </c>
      <c r="AS176" s="3">
        <f>VLOOKUP($AL176,Table1[],8,FALSE)</f>
        <v>0</v>
      </c>
    </row>
    <row r="177" spans="1:45" x14ac:dyDescent="0.35">
      <c r="A177" s="2" t="s">
        <v>533</v>
      </c>
      <c r="B177" s="3">
        <v>2600000</v>
      </c>
      <c r="C177" s="3">
        <v>2539780</v>
      </c>
      <c r="D177" s="3">
        <v>0</v>
      </c>
      <c r="E177" s="3">
        <v>2539780</v>
      </c>
      <c r="F177" s="3">
        <v>60220</v>
      </c>
      <c r="G177" s="3">
        <v>2600000</v>
      </c>
      <c r="H177" s="3">
        <v>2539780</v>
      </c>
      <c r="I177" s="3">
        <v>0</v>
      </c>
      <c r="J177" s="3">
        <v>2539780</v>
      </c>
      <c r="K177" s="3">
        <v>60220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2600000</v>
      </c>
      <c r="AG177" s="3">
        <v>2539780</v>
      </c>
      <c r="AH177" s="3">
        <v>0</v>
      </c>
      <c r="AI177" s="3">
        <v>2539780</v>
      </c>
      <c r="AJ177" s="3">
        <v>60220</v>
      </c>
      <c r="AK177" s="2" t="s">
        <v>534</v>
      </c>
      <c r="AL177" s="2" t="s">
        <v>535</v>
      </c>
      <c r="AM177" s="3">
        <f>VLOOKUP(AL177,Table1[],2,FALSE)</f>
        <v>0</v>
      </c>
      <c r="AN177" s="3">
        <f>VLOOKUP(AL177,Table1[],3,FALSE)</f>
        <v>0</v>
      </c>
      <c r="AO177" s="3">
        <f>VLOOKUP($AL177,Table1[],4,FALSE)</f>
        <v>0</v>
      </c>
      <c r="AP177" s="3">
        <f>VLOOKUP($AL177,Table1[],5,FALSE)</f>
        <v>0</v>
      </c>
      <c r="AQ177" s="3">
        <f>VLOOKUP($AL177,Table1[],6,FALSE)</f>
        <v>0</v>
      </c>
      <c r="AR177" s="3">
        <f>VLOOKUP($AL177,Table1[],7,FALSE)</f>
        <v>0</v>
      </c>
      <c r="AS177" s="3">
        <f>VLOOKUP($AL177,Table1[],8,FALSE)</f>
        <v>0</v>
      </c>
    </row>
    <row r="178" spans="1:45" x14ac:dyDescent="0.35">
      <c r="A178" s="2" t="s">
        <v>536</v>
      </c>
      <c r="B178" s="3">
        <v>4000000</v>
      </c>
      <c r="C178" s="3">
        <v>4000000</v>
      </c>
      <c r="D178" s="3">
        <v>0</v>
      </c>
      <c r="E178" s="3">
        <v>4000000</v>
      </c>
      <c r="F178" s="3">
        <v>0</v>
      </c>
      <c r="G178" s="3">
        <v>4000000</v>
      </c>
      <c r="H178" s="3">
        <v>4000000</v>
      </c>
      <c r="I178" s="3">
        <v>0</v>
      </c>
      <c r="J178" s="3">
        <v>4000000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4000000</v>
      </c>
      <c r="AG178" s="3">
        <v>4000000</v>
      </c>
      <c r="AH178" s="3">
        <v>0</v>
      </c>
      <c r="AI178" s="3">
        <v>4000000</v>
      </c>
      <c r="AJ178" s="3">
        <v>0</v>
      </c>
      <c r="AK178" s="2" t="s">
        <v>537</v>
      </c>
      <c r="AL178" s="2" t="s">
        <v>538</v>
      </c>
      <c r="AM178" s="3">
        <f>VLOOKUP(AL178,Table1[],2,FALSE)</f>
        <v>0</v>
      </c>
      <c r="AN178" s="3">
        <f>VLOOKUP(AL178,Table1[],3,FALSE)</f>
        <v>0</v>
      </c>
      <c r="AO178" s="3">
        <f>VLOOKUP($AL178,Table1[],4,FALSE)</f>
        <v>0</v>
      </c>
      <c r="AP178" s="3">
        <f>VLOOKUP($AL178,Table1[],5,FALSE)</f>
        <v>0</v>
      </c>
      <c r="AQ178" s="3">
        <f>VLOOKUP($AL178,Table1[],6,FALSE)</f>
        <v>0</v>
      </c>
      <c r="AR178" s="3">
        <f>VLOOKUP($AL178,Table1[],7,FALSE)</f>
        <v>0</v>
      </c>
      <c r="AS178" s="3">
        <f>VLOOKUP($AL178,Table1[],8,FALSE)</f>
        <v>0</v>
      </c>
    </row>
    <row r="179" spans="1:45" x14ac:dyDescent="0.35">
      <c r="A179" s="2" t="s">
        <v>539</v>
      </c>
      <c r="B179" s="3">
        <v>13833000</v>
      </c>
      <c r="C179" s="3">
        <v>13833000</v>
      </c>
      <c r="D179" s="3">
        <v>0</v>
      </c>
      <c r="E179" s="3">
        <v>13833000</v>
      </c>
      <c r="F179" s="3">
        <v>0</v>
      </c>
      <c r="G179" s="3">
        <v>13833000</v>
      </c>
      <c r="H179" s="3">
        <v>13833000</v>
      </c>
      <c r="I179" s="3">
        <v>0</v>
      </c>
      <c r="J179" s="3">
        <v>13833000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13833000</v>
      </c>
      <c r="AG179" s="3">
        <v>13833000</v>
      </c>
      <c r="AH179" s="3">
        <v>0</v>
      </c>
      <c r="AI179" s="3">
        <v>13833000</v>
      </c>
      <c r="AJ179" s="3">
        <v>0</v>
      </c>
      <c r="AK179" s="2" t="s">
        <v>540</v>
      </c>
      <c r="AL179" s="2" t="s">
        <v>541</v>
      </c>
      <c r="AM179" s="3">
        <f>VLOOKUP(AL179,Table1[],2,FALSE)</f>
        <v>0</v>
      </c>
      <c r="AN179" s="3">
        <f>VLOOKUP(AL179,Table1[],3,FALSE)</f>
        <v>0</v>
      </c>
      <c r="AO179" s="3">
        <f>VLOOKUP($AL179,Table1[],4,FALSE)</f>
        <v>0</v>
      </c>
      <c r="AP179" s="3">
        <f>VLOOKUP($AL179,Table1[],5,FALSE)</f>
        <v>0</v>
      </c>
      <c r="AQ179" s="3">
        <f>VLOOKUP($AL179,Table1[],6,FALSE)</f>
        <v>0</v>
      </c>
      <c r="AR179" s="3">
        <f>VLOOKUP($AL179,Table1[],7,FALSE)</f>
        <v>0</v>
      </c>
      <c r="AS179" s="3">
        <f>VLOOKUP($AL179,Table1[],8,FALSE)</f>
        <v>0</v>
      </c>
    </row>
    <row r="180" spans="1:45" x14ac:dyDescent="0.35">
      <c r="A180" s="2" t="s">
        <v>542</v>
      </c>
      <c r="B180" s="3">
        <v>6000000</v>
      </c>
      <c r="C180" s="3">
        <v>0</v>
      </c>
      <c r="D180" s="3">
        <v>0</v>
      </c>
      <c r="E180" s="3">
        <v>0</v>
      </c>
      <c r="F180" s="3">
        <v>6000000</v>
      </c>
      <c r="G180" s="3">
        <v>6000000</v>
      </c>
      <c r="H180" s="3">
        <v>0</v>
      </c>
      <c r="I180" s="3">
        <v>0</v>
      </c>
      <c r="J180" s="3">
        <v>0</v>
      </c>
      <c r="K180" s="3">
        <v>6000000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6000000</v>
      </c>
      <c r="AG180" s="3">
        <v>0</v>
      </c>
      <c r="AH180" s="3">
        <v>0</v>
      </c>
      <c r="AI180" s="3">
        <v>0</v>
      </c>
      <c r="AJ180" s="3">
        <v>6000000</v>
      </c>
      <c r="AK180" s="2" t="s">
        <v>543</v>
      </c>
      <c r="AL180" s="2" t="s">
        <v>544</v>
      </c>
      <c r="AM180" s="3" t="e">
        <f>VLOOKUP(AL180,Table1[],2,FALSE)</f>
        <v>#N/A</v>
      </c>
      <c r="AN180" s="3" t="e">
        <f>VLOOKUP(AL180,Table1[],3,FALSE)</f>
        <v>#N/A</v>
      </c>
      <c r="AO180" s="3" t="e">
        <f>VLOOKUP($AL180,Table1[],4,FALSE)</f>
        <v>#N/A</v>
      </c>
      <c r="AP180" s="3" t="e">
        <f>VLOOKUP($AL180,Table1[],5,FALSE)</f>
        <v>#N/A</v>
      </c>
      <c r="AQ180" s="3" t="e">
        <f>VLOOKUP($AL180,Table1[],6,FALSE)</f>
        <v>#N/A</v>
      </c>
      <c r="AR180" s="3" t="e">
        <f>VLOOKUP($AL180,Table1[],7,FALSE)</f>
        <v>#N/A</v>
      </c>
      <c r="AS180" s="3" t="e">
        <f>VLOOKUP($AL180,Table1[],8,FALSE)</f>
        <v>#N/A</v>
      </c>
    </row>
    <row r="181" spans="1:45" x14ac:dyDescent="0.35">
      <c r="A181" s="2" t="s">
        <v>545</v>
      </c>
      <c r="B181" s="3">
        <v>3500000</v>
      </c>
      <c r="C181" s="3">
        <v>3500000</v>
      </c>
      <c r="D181" s="3">
        <v>0</v>
      </c>
      <c r="E181" s="3">
        <v>3500000</v>
      </c>
      <c r="F181" s="3">
        <v>0</v>
      </c>
      <c r="G181" s="3">
        <v>3500000</v>
      </c>
      <c r="H181" s="3">
        <v>3500000</v>
      </c>
      <c r="I181" s="3">
        <v>0</v>
      </c>
      <c r="J181" s="3">
        <v>3500000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3500000</v>
      </c>
      <c r="AG181" s="3">
        <v>3500000</v>
      </c>
      <c r="AH181" s="3">
        <v>0</v>
      </c>
      <c r="AI181" s="3">
        <v>3500000</v>
      </c>
      <c r="AJ181" s="3">
        <v>0</v>
      </c>
      <c r="AK181" s="2" t="s">
        <v>546</v>
      </c>
      <c r="AL181" s="2" t="s">
        <v>547</v>
      </c>
      <c r="AM181" s="3">
        <f>VLOOKUP(AL181,Table1[],2,FALSE)</f>
        <v>0</v>
      </c>
      <c r="AN181" s="3">
        <f>VLOOKUP(AL181,Table1[],3,FALSE)</f>
        <v>0</v>
      </c>
      <c r="AO181" s="3">
        <f>VLOOKUP($AL181,Table1[],4,FALSE)</f>
        <v>0</v>
      </c>
      <c r="AP181" s="3">
        <f>VLOOKUP($AL181,Table1[],5,FALSE)</f>
        <v>0</v>
      </c>
      <c r="AQ181" s="3">
        <f>VLOOKUP($AL181,Table1[],6,FALSE)</f>
        <v>0</v>
      </c>
      <c r="AR181" s="3">
        <f>VLOOKUP($AL181,Table1[],7,FALSE)</f>
        <v>0</v>
      </c>
      <c r="AS181" s="3">
        <f>VLOOKUP($AL181,Table1[],8,FALSE)</f>
        <v>0</v>
      </c>
    </row>
    <row r="182" spans="1:45" x14ac:dyDescent="0.35">
      <c r="A182" s="2" t="s">
        <v>548</v>
      </c>
      <c r="B182" s="3">
        <v>1000000</v>
      </c>
      <c r="C182" s="3">
        <v>50150</v>
      </c>
      <c r="D182" s="3">
        <v>0</v>
      </c>
      <c r="E182" s="3">
        <v>50150</v>
      </c>
      <c r="F182" s="3">
        <v>949850</v>
      </c>
      <c r="G182" s="3">
        <v>1000000</v>
      </c>
      <c r="H182" s="3">
        <v>50150</v>
      </c>
      <c r="I182" s="3">
        <v>0</v>
      </c>
      <c r="J182" s="3">
        <v>50150</v>
      </c>
      <c r="K182" s="3">
        <v>949850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1000000</v>
      </c>
      <c r="AG182" s="3">
        <v>50150</v>
      </c>
      <c r="AH182" s="3">
        <v>0</v>
      </c>
      <c r="AI182" s="3">
        <v>50150</v>
      </c>
      <c r="AJ182" s="3">
        <v>949850</v>
      </c>
      <c r="AK182" s="2" t="s">
        <v>549</v>
      </c>
      <c r="AL182" s="2" t="s">
        <v>550</v>
      </c>
      <c r="AM182" s="3">
        <f>VLOOKUP(AL182,Table1[],2,FALSE)</f>
        <v>0</v>
      </c>
      <c r="AN182" s="3">
        <f>VLOOKUP(AL182,Table1[],3,FALSE)</f>
        <v>0</v>
      </c>
      <c r="AO182" s="3">
        <f>VLOOKUP($AL182,Table1[],4,FALSE)</f>
        <v>0</v>
      </c>
      <c r="AP182" s="3">
        <f>VLOOKUP($AL182,Table1[],5,FALSE)</f>
        <v>0</v>
      </c>
      <c r="AQ182" s="3">
        <f>VLOOKUP($AL182,Table1[],6,FALSE)</f>
        <v>0</v>
      </c>
      <c r="AR182" s="3">
        <f>VLOOKUP($AL182,Table1[],7,FALSE)</f>
        <v>0</v>
      </c>
      <c r="AS182" s="3">
        <f>VLOOKUP($AL182,Table1[],8,FALSE)</f>
        <v>0</v>
      </c>
    </row>
    <row r="183" spans="1:45" x14ac:dyDescent="0.35">
      <c r="A183" s="2" t="s">
        <v>551</v>
      </c>
      <c r="B183" s="3">
        <v>1000000</v>
      </c>
      <c r="C183" s="3">
        <v>1000000</v>
      </c>
      <c r="D183" s="3">
        <v>0</v>
      </c>
      <c r="E183" s="3">
        <v>1000000</v>
      </c>
      <c r="F183" s="3">
        <v>0</v>
      </c>
      <c r="G183" s="3">
        <v>1000000</v>
      </c>
      <c r="H183" s="3">
        <v>1000000</v>
      </c>
      <c r="I183" s="3">
        <v>0</v>
      </c>
      <c r="J183" s="3">
        <v>1000000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1000000</v>
      </c>
      <c r="AG183" s="3">
        <v>1000000</v>
      </c>
      <c r="AH183" s="3">
        <v>0</v>
      </c>
      <c r="AI183" s="3">
        <v>1000000</v>
      </c>
      <c r="AJ183" s="3">
        <v>0</v>
      </c>
      <c r="AK183" s="2" t="s">
        <v>552</v>
      </c>
      <c r="AL183" s="2" t="s">
        <v>553</v>
      </c>
      <c r="AM183" s="3">
        <f>VLOOKUP(AL183,Table1[],2,FALSE)</f>
        <v>0</v>
      </c>
      <c r="AN183" s="3">
        <f>VLOOKUP(AL183,Table1[],3,FALSE)</f>
        <v>0</v>
      </c>
      <c r="AO183" s="3">
        <f>VLOOKUP($AL183,Table1[],4,FALSE)</f>
        <v>0</v>
      </c>
      <c r="AP183" s="3">
        <f>VLOOKUP($AL183,Table1[],5,FALSE)</f>
        <v>0</v>
      </c>
      <c r="AQ183" s="3">
        <f>VLOOKUP($AL183,Table1[],6,FALSE)</f>
        <v>0</v>
      </c>
      <c r="AR183" s="3">
        <f>VLOOKUP($AL183,Table1[],7,FALSE)</f>
        <v>0</v>
      </c>
      <c r="AS183" s="3">
        <f>VLOOKUP($AL183,Table1[],8,FALSE)</f>
        <v>0</v>
      </c>
    </row>
    <row r="184" spans="1:45" x14ac:dyDescent="0.35">
      <c r="A184" s="2" t="s">
        <v>554</v>
      </c>
      <c r="B184" s="3">
        <v>4500000</v>
      </c>
      <c r="C184" s="3">
        <v>3476252.9</v>
      </c>
      <c r="D184" s="3">
        <v>851578.59</v>
      </c>
      <c r="E184" s="3">
        <v>4327831.49</v>
      </c>
      <c r="F184" s="3">
        <v>172168.51</v>
      </c>
      <c r="G184" s="3">
        <v>4500000</v>
      </c>
      <c r="H184" s="3">
        <v>3476252.9</v>
      </c>
      <c r="I184" s="3">
        <v>851578.59</v>
      </c>
      <c r="J184" s="3">
        <v>4327831.49</v>
      </c>
      <c r="K184" s="3">
        <v>172168.51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4500000</v>
      </c>
      <c r="AG184" s="3">
        <v>3476252.9</v>
      </c>
      <c r="AH184" s="3">
        <v>851578.59</v>
      </c>
      <c r="AI184" s="3">
        <v>4327831.49</v>
      </c>
      <c r="AJ184" s="3">
        <v>172168.51</v>
      </c>
      <c r="AK184" s="2" t="s">
        <v>555</v>
      </c>
      <c r="AL184" s="2" t="s">
        <v>556</v>
      </c>
      <c r="AM184" s="3">
        <f>VLOOKUP(AL184,Table1[],2,FALSE)</f>
        <v>0</v>
      </c>
      <c r="AN184" s="3">
        <f>VLOOKUP(AL184,Table1[],3,FALSE)</f>
        <v>0</v>
      </c>
      <c r="AO184" s="3">
        <f>VLOOKUP($AL184,Table1[],4,FALSE)</f>
        <v>0</v>
      </c>
      <c r="AP184" s="3">
        <f>VLOOKUP($AL184,Table1[],5,FALSE)</f>
        <v>0</v>
      </c>
      <c r="AQ184" s="3">
        <f>VLOOKUP($AL184,Table1[],6,FALSE)</f>
        <v>0</v>
      </c>
      <c r="AR184" s="3">
        <f>VLOOKUP($AL184,Table1[],7,FALSE)</f>
        <v>0</v>
      </c>
      <c r="AS184" s="3">
        <f>VLOOKUP($AL184,Table1[],8,FALSE)</f>
        <v>0</v>
      </c>
    </row>
    <row r="185" spans="1:45" x14ac:dyDescent="0.35">
      <c r="A185" s="2" t="s">
        <v>557</v>
      </c>
      <c r="B185" s="3">
        <v>2500000</v>
      </c>
      <c r="C185" s="3">
        <v>0</v>
      </c>
      <c r="D185" s="3">
        <v>1598450.05</v>
      </c>
      <c r="E185" s="3">
        <v>1598450.05</v>
      </c>
      <c r="F185" s="3">
        <v>901549.95</v>
      </c>
      <c r="G185" s="3">
        <v>2500000</v>
      </c>
      <c r="H185" s="3">
        <v>0</v>
      </c>
      <c r="I185" s="3">
        <v>1598450.05</v>
      </c>
      <c r="J185" s="3">
        <v>1598450.05</v>
      </c>
      <c r="K185" s="3">
        <v>901549.95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2500000</v>
      </c>
      <c r="AG185" s="3">
        <v>0</v>
      </c>
      <c r="AH185" s="3">
        <v>1598450.05</v>
      </c>
      <c r="AI185" s="3">
        <v>1598450.05</v>
      </c>
      <c r="AJ185" s="3">
        <v>901549.95</v>
      </c>
      <c r="AK185" s="2" t="s">
        <v>558</v>
      </c>
      <c r="AL185" s="2" t="s">
        <v>559</v>
      </c>
      <c r="AM185" s="3" t="e">
        <f>VLOOKUP(AL185,Table1[],2,FALSE)</f>
        <v>#N/A</v>
      </c>
      <c r="AN185" s="3" t="e">
        <f>VLOOKUP(AL185,Table1[],3,FALSE)</f>
        <v>#N/A</v>
      </c>
      <c r="AO185" s="3" t="e">
        <f>VLOOKUP($AL185,Table1[],4,FALSE)</f>
        <v>#N/A</v>
      </c>
      <c r="AP185" s="3" t="e">
        <f>VLOOKUP($AL185,Table1[],5,FALSE)</f>
        <v>#N/A</v>
      </c>
      <c r="AQ185" s="3" t="e">
        <f>VLOOKUP($AL185,Table1[],6,FALSE)</f>
        <v>#N/A</v>
      </c>
      <c r="AR185" s="3" t="e">
        <f>VLOOKUP($AL185,Table1[],7,FALSE)</f>
        <v>#N/A</v>
      </c>
      <c r="AS185" s="3" t="e">
        <f>VLOOKUP($AL185,Table1[],8,FALSE)</f>
        <v>#N/A</v>
      </c>
    </row>
    <row r="186" spans="1:45" x14ac:dyDescent="0.35">
      <c r="A186" s="2" t="s">
        <v>560</v>
      </c>
      <c r="B186" s="3">
        <v>2500000</v>
      </c>
      <c r="C186" s="3">
        <v>0</v>
      </c>
      <c r="D186" s="3">
        <v>2058541.98</v>
      </c>
      <c r="E186" s="3">
        <v>2058541.98</v>
      </c>
      <c r="F186" s="3">
        <v>441458.02</v>
      </c>
      <c r="G186" s="3">
        <v>2500000</v>
      </c>
      <c r="H186" s="3">
        <v>0</v>
      </c>
      <c r="I186" s="3">
        <v>2058541.98</v>
      </c>
      <c r="J186" s="3">
        <v>2058541.98</v>
      </c>
      <c r="K186" s="3">
        <v>441458.02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2500000</v>
      </c>
      <c r="AG186" s="3">
        <v>0</v>
      </c>
      <c r="AH186" s="3">
        <v>2058541.98</v>
      </c>
      <c r="AI186" s="3">
        <v>2058541.98</v>
      </c>
      <c r="AJ186" s="3">
        <v>441458.02</v>
      </c>
      <c r="AK186" s="2" t="s">
        <v>561</v>
      </c>
      <c r="AL186" s="2" t="s">
        <v>562</v>
      </c>
      <c r="AM186" s="3" t="e">
        <f>VLOOKUP(AL186,Table1[],2,FALSE)</f>
        <v>#N/A</v>
      </c>
      <c r="AN186" s="3" t="e">
        <f>VLOOKUP(AL186,Table1[],3,FALSE)</f>
        <v>#N/A</v>
      </c>
      <c r="AO186" s="3" t="e">
        <f>VLOOKUP($AL186,Table1[],4,FALSE)</f>
        <v>#N/A</v>
      </c>
      <c r="AP186" s="3" t="e">
        <f>VLOOKUP($AL186,Table1[],5,FALSE)</f>
        <v>#N/A</v>
      </c>
      <c r="AQ186" s="3" t="e">
        <f>VLOOKUP($AL186,Table1[],6,FALSE)</f>
        <v>#N/A</v>
      </c>
      <c r="AR186" s="3" t="e">
        <f>VLOOKUP($AL186,Table1[],7,FALSE)</f>
        <v>#N/A</v>
      </c>
      <c r="AS186" s="3" t="e">
        <f>VLOOKUP($AL186,Table1[],8,FALSE)</f>
        <v>#N/A</v>
      </c>
    </row>
    <row r="187" spans="1:45" x14ac:dyDescent="0.35">
      <c r="A187" s="2" t="s">
        <v>563</v>
      </c>
      <c r="B187" s="3">
        <v>2500000</v>
      </c>
      <c r="C187" s="3">
        <v>0</v>
      </c>
      <c r="D187" s="3">
        <v>361938.9</v>
      </c>
      <c r="E187" s="3">
        <v>361938.9</v>
      </c>
      <c r="F187" s="3">
        <v>2138061.1</v>
      </c>
      <c r="G187" s="3">
        <v>2500000</v>
      </c>
      <c r="H187" s="3">
        <v>0</v>
      </c>
      <c r="I187" s="3">
        <v>361938.9</v>
      </c>
      <c r="J187" s="3">
        <v>361938.9</v>
      </c>
      <c r="K187" s="3">
        <v>2138061.1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2500000</v>
      </c>
      <c r="AG187" s="3">
        <v>0</v>
      </c>
      <c r="AH187" s="3">
        <v>361938.9</v>
      </c>
      <c r="AI187" s="3">
        <v>361938.9</v>
      </c>
      <c r="AJ187" s="3">
        <v>2138061.1</v>
      </c>
      <c r="AK187" s="2" t="s">
        <v>564</v>
      </c>
      <c r="AL187" s="2" t="s">
        <v>565</v>
      </c>
      <c r="AM187" s="3" t="e">
        <f>VLOOKUP(AL187,Table1[],2,FALSE)</f>
        <v>#N/A</v>
      </c>
      <c r="AN187" s="3" t="e">
        <f>VLOOKUP(AL187,Table1[],3,FALSE)</f>
        <v>#N/A</v>
      </c>
      <c r="AO187" s="3" t="e">
        <f>VLOOKUP($AL187,Table1[],4,FALSE)</f>
        <v>#N/A</v>
      </c>
      <c r="AP187" s="3" t="e">
        <f>VLOOKUP($AL187,Table1[],5,FALSE)</f>
        <v>#N/A</v>
      </c>
      <c r="AQ187" s="3" t="e">
        <f>VLOOKUP($AL187,Table1[],6,FALSE)</f>
        <v>#N/A</v>
      </c>
      <c r="AR187" s="3" t="e">
        <f>VLOOKUP($AL187,Table1[],7,FALSE)</f>
        <v>#N/A</v>
      </c>
      <c r="AS187" s="3" t="e">
        <f>VLOOKUP($AL187,Table1[],8,FALSE)</f>
        <v>#N/A</v>
      </c>
    </row>
    <row r="188" spans="1:45" x14ac:dyDescent="0.35">
      <c r="A188" s="2" t="s">
        <v>566</v>
      </c>
      <c r="B188" s="3">
        <v>4000000</v>
      </c>
      <c r="C188" s="3">
        <v>0</v>
      </c>
      <c r="D188" s="3">
        <v>0</v>
      </c>
      <c r="E188" s="3">
        <v>0</v>
      </c>
      <c r="F188" s="3">
        <v>4000000</v>
      </c>
      <c r="G188" s="3">
        <v>4000000</v>
      </c>
      <c r="H188" s="3">
        <v>0</v>
      </c>
      <c r="I188" s="3">
        <v>0</v>
      </c>
      <c r="J188" s="3">
        <v>0</v>
      </c>
      <c r="K188" s="3">
        <v>4000000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4000000</v>
      </c>
      <c r="AG188" s="3">
        <v>0</v>
      </c>
      <c r="AH188" s="3">
        <v>0</v>
      </c>
      <c r="AI188" s="3">
        <v>0</v>
      </c>
      <c r="AJ188" s="3">
        <v>4000000</v>
      </c>
      <c r="AK188" s="2" t="s">
        <v>567</v>
      </c>
      <c r="AL188" s="2" t="s">
        <v>568</v>
      </c>
      <c r="AM188" s="3" t="e">
        <f>VLOOKUP(AL188,Table1[],2,FALSE)</f>
        <v>#N/A</v>
      </c>
      <c r="AN188" s="3" t="e">
        <f>VLOOKUP(AL188,Table1[],3,FALSE)</f>
        <v>#N/A</v>
      </c>
      <c r="AO188" s="3" t="e">
        <f>VLOOKUP($AL188,Table1[],4,FALSE)</f>
        <v>#N/A</v>
      </c>
      <c r="AP188" s="3" t="e">
        <f>VLOOKUP($AL188,Table1[],5,FALSE)</f>
        <v>#N/A</v>
      </c>
      <c r="AQ188" s="3" t="e">
        <f>VLOOKUP($AL188,Table1[],6,FALSE)</f>
        <v>#N/A</v>
      </c>
      <c r="AR188" s="3" t="e">
        <f>VLOOKUP($AL188,Table1[],7,FALSE)</f>
        <v>#N/A</v>
      </c>
      <c r="AS188" s="3" t="e">
        <f>VLOOKUP($AL188,Table1[],8,FALSE)</f>
        <v>#N/A</v>
      </c>
    </row>
    <row r="189" spans="1:45" x14ac:dyDescent="0.35">
      <c r="A189" s="2" t="s">
        <v>569</v>
      </c>
      <c r="B189" s="3">
        <v>4000000</v>
      </c>
      <c r="C189" s="3">
        <v>0</v>
      </c>
      <c r="D189" s="3">
        <v>0</v>
      </c>
      <c r="E189" s="3">
        <v>0</v>
      </c>
      <c r="F189" s="3">
        <v>4000000</v>
      </c>
      <c r="G189" s="3">
        <v>4000000</v>
      </c>
      <c r="H189" s="3">
        <v>0</v>
      </c>
      <c r="I189" s="3">
        <v>0</v>
      </c>
      <c r="J189" s="3">
        <v>0</v>
      </c>
      <c r="K189" s="3">
        <v>4000000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4000000</v>
      </c>
      <c r="AG189" s="3">
        <v>0</v>
      </c>
      <c r="AH189" s="3">
        <v>0</v>
      </c>
      <c r="AI189" s="3">
        <v>0</v>
      </c>
      <c r="AJ189" s="3">
        <v>4000000</v>
      </c>
      <c r="AK189" s="2" t="s">
        <v>570</v>
      </c>
      <c r="AL189" s="2" t="s">
        <v>571</v>
      </c>
      <c r="AM189" s="3" t="e">
        <f>VLOOKUP(AL189,Table1[],2,FALSE)</f>
        <v>#N/A</v>
      </c>
      <c r="AN189" s="3" t="e">
        <f>VLOOKUP(AL189,Table1[],3,FALSE)</f>
        <v>#N/A</v>
      </c>
      <c r="AO189" s="3" t="e">
        <f>VLOOKUP($AL189,Table1[],4,FALSE)</f>
        <v>#N/A</v>
      </c>
      <c r="AP189" s="3" t="e">
        <f>VLOOKUP($AL189,Table1[],5,FALSE)</f>
        <v>#N/A</v>
      </c>
      <c r="AQ189" s="3" t="e">
        <f>VLOOKUP($AL189,Table1[],6,FALSE)</f>
        <v>#N/A</v>
      </c>
      <c r="AR189" s="3" t="e">
        <f>VLOOKUP($AL189,Table1[],7,FALSE)</f>
        <v>#N/A</v>
      </c>
      <c r="AS189" s="3" t="e">
        <f>VLOOKUP($AL189,Table1[],8,FALSE)</f>
        <v>#N/A</v>
      </c>
    </row>
    <row r="190" spans="1:45" x14ac:dyDescent="0.35">
      <c r="A190" s="2" t="s">
        <v>572</v>
      </c>
      <c r="B190" s="3">
        <v>4000000</v>
      </c>
      <c r="C190" s="3">
        <v>0</v>
      </c>
      <c r="D190" s="3">
        <v>0</v>
      </c>
      <c r="E190" s="3">
        <v>0</v>
      </c>
      <c r="F190" s="3">
        <v>4000000</v>
      </c>
      <c r="G190" s="3">
        <v>4000000</v>
      </c>
      <c r="H190" s="3">
        <v>0</v>
      </c>
      <c r="I190" s="3">
        <v>0</v>
      </c>
      <c r="J190" s="3">
        <v>0</v>
      </c>
      <c r="K190" s="3">
        <v>4000000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4000000</v>
      </c>
      <c r="AG190" s="3">
        <v>0</v>
      </c>
      <c r="AH190" s="3">
        <v>0</v>
      </c>
      <c r="AI190" s="3">
        <v>0</v>
      </c>
      <c r="AJ190" s="3">
        <v>4000000</v>
      </c>
      <c r="AK190" s="2" t="s">
        <v>573</v>
      </c>
      <c r="AL190" s="2" t="s">
        <v>574</v>
      </c>
      <c r="AM190" s="3" t="e">
        <f>VLOOKUP(AL190,Table1[],2,FALSE)</f>
        <v>#N/A</v>
      </c>
      <c r="AN190" s="3" t="e">
        <f>VLOOKUP(AL190,Table1[],3,FALSE)</f>
        <v>#N/A</v>
      </c>
      <c r="AO190" s="3" t="e">
        <f>VLOOKUP($AL190,Table1[],4,FALSE)</f>
        <v>#N/A</v>
      </c>
      <c r="AP190" s="3" t="e">
        <f>VLOOKUP($AL190,Table1[],5,FALSE)</f>
        <v>#N/A</v>
      </c>
      <c r="AQ190" s="3" t="e">
        <f>VLOOKUP($AL190,Table1[],6,FALSE)</f>
        <v>#N/A</v>
      </c>
      <c r="AR190" s="3" t="e">
        <f>VLOOKUP($AL190,Table1[],7,FALSE)</f>
        <v>#N/A</v>
      </c>
      <c r="AS190" s="3" t="e">
        <f>VLOOKUP($AL190,Table1[],8,FALSE)</f>
        <v>#N/A</v>
      </c>
    </row>
    <row r="191" spans="1:45" x14ac:dyDescent="0.35">
      <c r="A191" s="2" t="s">
        <v>575</v>
      </c>
      <c r="B191" s="3">
        <v>2500000</v>
      </c>
      <c r="C191" s="3">
        <v>0</v>
      </c>
      <c r="D191" s="3">
        <v>0</v>
      </c>
      <c r="E191" s="3">
        <v>0</v>
      </c>
      <c r="F191" s="3">
        <v>2500000</v>
      </c>
      <c r="G191" s="3">
        <v>2500000</v>
      </c>
      <c r="H191" s="3">
        <v>0</v>
      </c>
      <c r="I191" s="3">
        <v>0</v>
      </c>
      <c r="J191" s="3">
        <v>0</v>
      </c>
      <c r="K191" s="3">
        <v>2500000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2500000</v>
      </c>
      <c r="AG191" s="3">
        <v>0</v>
      </c>
      <c r="AH191" s="3">
        <v>0</v>
      </c>
      <c r="AI191" s="3">
        <v>0</v>
      </c>
      <c r="AJ191" s="3">
        <v>2500000</v>
      </c>
      <c r="AK191" s="2" t="s">
        <v>576</v>
      </c>
      <c r="AL191" s="2" t="s">
        <v>577</v>
      </c>
      <c r="AM191" s="3" t="e">
        <f>VLOOKUP(AL191,Table1[],2,FALSE)</f>
        <v>#N/A</v>
      </c>
      <c r="AN191" s="3" t="e">
        <f>VLOOKUP(AL191,Table1[],3,FALSE)</f>
        <v>#N/A</v>
      </c>
      <c r="AO191" s="3" t="e">
        <f>VLOOKUP($AL191,Table1[],4,FALSE)</f>
        <v>#N/A</v>
      </c>
      <c r="AP191" s="3" t="e">
        <f>VLOOKUP($AL191,Table1[],5,FALSE)</f>
        <v>#N/A</v>
      </c>
      <c r="AQ191" s="3" t="e">
        <f>VLOOKUP($AL191,Table1[],6,FALSE)</f>
        <v>#N/A</v>
      </c>
      <c r="AR191" s="3" t="e">
        <f>VLOOKUP($AL191,Table1[],7,FALSE)</f>
        <v>#N/A</v>
      </c>
      <c r="AS191" s="3" t="e">
        <f>VLOOKUP($AL191,Table1[],8,FALSE)</f>
        <v>#N/A</v>
      </c>
    </row>
    <row r="192" spans="1:45" x14ac:dyDescent="0.35">
      <c r="A192" s="2" t="s">
        <v>578</v>
      </c>
      <c r="B192" s="3">
        <v>2500000</v>
      </c>
      <c r="C192" s="3">
        <v>0</v>
      </c>
      <c r="D192" s="3">
        <v>0</v>
      </c>
      <c r="E192" s="3">
        <v>0</v>
      </c>
      <c r="F192" s="3">
        <v>2500000</v>
      </c>
      <c r="G192" s="3">
        <v>2500000</v>
      </c>
      <c r="H192" s="3">
        <v>0</v>
      </c>
      <c r="I192" s="3">
        <v>0</v>
      </c>
      <c r="J192" s="3">
        <v>0</v>
      </c>
      <c r="K192" s="3">
        <v>2500000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2500000</v>
      </c>
      <c r="AG192" s="3">
        <v>0</v>
      </c>
      <c r="AH192" s="3">
        <v>0</v>
      </c>
      <c r="AI192" s="3">
        <v>0</v>
      </c>
      <c r="AJ192" s="3">
        <v>2500000</v>
      </c>
      <c r="AK192" s="2" t="s">
        <v>579</v>
      </c>
      <c r="AL192" s="2" t="s">
        <v>580</v>
      </c>
      <c r="AM192" s="3" t="e">
        <f>VLOOKUP(AL192,Table1[],2,FALSE)</f>
        <v>#N/A</v>
      </c>
      <c r="AN192" s="3" t="e">
        <f>VLOOKUP(AL192,Table1[],3,FALSE)</f>
        <v>#N/A</v>
      </c>
      <c r="AO192" s="3" t="e">
        <f>VLOOKUP($AL192,Table1[],4,FALSE)</f>
        <v>#N/A</v>
      </c>
      <c r="AP192" s="3" t="e">
        <f>VLOOKUP($AL192,Table1[],5,FALSE)</f>
        <v>#N/A</v>
      </c>
      <c r="AQ192" s="3" t="e">
        <f>VLOOKUP($AL192,Table1[],6,FALSE)</f>
        <v>#N/A</v>
      </c>
      <c r="AR192" s="3" t="e">
        <f>VLOOKUP($AL192,Table1[],7,FALSE)</f>
        <v>#N/A</v>
      </c>
      <c r="AS192" s="3" t="e">
        <f>VLOOKUP($AL192,Table1[],8,FALSE)</f>
        <v>#N/A</v>
      </c>
    </row>
    <row r="193" spans="1:45" x14ac:dyDescent="0.35">
      <c r="A193" s="2" t="s">
        <v>581</v>
      </c>
      <c r="B193" s="3">
        <v>4000000</v>
      </c>
      <c r="C193" s="3">
        <v>0</v>
      </c>
      <c r="D193" s="3">
        <v>0</v>
      </c>
      <c r="E193" s="3">
        <v>0</v>
      </c>
      <c r="F193" s="3">
        <v>4000000</v>
      </c>
      <c r="G193" s="3">
        <v>4000000</v>
      </c>
      <c r="H193" s="3">
        <v>0</v>
      </c>
      <c r="I193" s="3">
        <v>0</v>
      </c>
      <c r="J193" s="3">
        <v>0</v>
      </c>
      <c r="K193" s="3">
        <v>4000000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4000000</v>
      </c>
      <c r="AG193" s="3">
        <v>0</v>
      </c>
      <c r="AH193" s="3">
        <v>0</v>
      </c>
      <c r="AI193" s="3">
        <v>0</v>
      </c>
      <c r="AJ193" s="3">
        <v>4000000</v>
      </c>
      <c r="AK193" s="2" t="s">
        <v>582</v>
      </c>
      <c r="AL193" s="2" t="s">
        <v>583</v>
      </c>
      <c r="AM193" s="3" t="e">
        <f>VLOOKUP(AL193,Table1[],2,FALSE)</f>
        <v>#N/A</v>
      </c>
      <c r="AN193" s="3" t="e">
        <f>VLOOKUP(AL193,Table1[],3,FALSE)</f>
        <v>#N/A</v>
      </c>
      <c r="AO193" s="3" t="e">
        <f>VLOOKUP($AL193,Table1[],4,FALSE)</f>
        <v>#N/A</v>
      </c>
      <c r="AP193" s="3" t="e">
        <f>VLOOKUP($AL193,Table1[],5,FALSE)</f>
        <v>#N/A</v>
      </c>
      <c r="AQ193" s="3" t="e">
        <f>VLOOKUP($AL193,Table1[],6,FALSE)</f>
        <v>#N/A</v>
      </c>
      <c r="AR193" s="3" t="e">
        <f>VLOOKUP($AL193,Table1[],7,FALSE)</f>
        <v>#N/A</v>
      </c>
      <c r="AS193" s="3" t="e">
        <f>VLOOKUP($AL193,Table1[],8,FALSE)</f>
        <v>#N/A</v>
      </c>
    </row>
    <row r="194" spans="1:45" x14ac:dyDescent="0.35">
      <c r="A194" s="2" t="s">
        <v>584</v>
      </c>
      <c r="B194" s="3">
        <v>4000000</v>
      </c>
      <c r="C194" s="3">
        <v>0</v>
      </c>
      <c r="D194" s="3">
        <v>0</v>
      </c>
      <c r="E194" s="3">
        <v>0</v>
      </c>
      <c r="F194" s="3">
        <v>4000000</v>
      </c>
      <c r="G194" s="3">
        <v>4000000</v>
      </c>
      <c r="H194" s="3">
        <v>0</v>
      </c>
      <c r="I194" s="3">
        <v>0</v>
      </c>
      <c r="J194" s="3">
        <v>0</v>
      </c>
      <c r="K194" s="3">
        <v>4000000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4000000</v>
      </c>
      <c r="AG194" s="3">
        <v>0</v>
      </c>
      <c r="AH194" s="3">
        <v>0</v>
      </c>
      <c r="AI194" s="3">
        <v>0</v>
      </c>
      <c r="AJ194" s="3">
        <v>4000000</v>
      </c>
      <c r="AK194" s="2" t="s">
        <v>585</v>
      </c>
      <c r="AL194" s="2" t="s">
        <v>586</v>
      </c>
      <c r="AM194" s="3" t="e">
        <f>VLOOKUP(AL194,Table1[],2,FALSE)</f>
        <v>#N/A</v>
      </c>
      <c r="AN194" s="3" t="e">
        <f>VLOOKUP(AL194,Table1[],3,FALSE)</f>
        <v>#N/A</v>
      </c>
      <c r="AO194" s="3" t="e">
        <f>VLOOKUP($AL194,Table1[],4,FALSE)</f>
        <v>#N/A</v>
      </c>
      <c r="AP194" s="3" t="e">
        <f>VLOOKUP($AL194,Table1[],5,FALSE)</f>
        <v>#N/A</v>
      </c>
      <c r="AQ194" s="3" t="e">
        <f>VLOOKUP($AL194,Table1[],6,FALSE)</f>
        <v>#N/A</v>
      </c>
      <c r="AR194" s="3" t="e">
        <f>VLOOKUP($AL194,Table1[],7,FALSE)</f>
        <v>#N/A</v>
      </c>
      <c r="AS194" s="3" t="e">
        <f>VLOOKUP($AL194,Table1[],8,FALSE)</f>
        <v>#N/A</v>
      </c>
    </row>
    <row r="195" spans="1:45" x14ac:dyDescent="0.35">
      <c r="A195" s="2" t="s">
        <v>587</v>
      </c>
      <c r="B195" s="3">
        <v>1200000</v>
      </c>
      <c r="C195" s="3">
        <v>0</v>
      </c>
      <c r="D195" s="3">
        <v>0</v>
      </c>
      <c r="E195" s="3">
        <v>0</v>
      </c>
      <c r="F195" s="3">
        <v>1200000</v>
      </c>
      <c r="G195" s="3">
        <v>1200000</v>
      </c>
      <c r="H195" s="3">
        <v>0</v>
      </c>
      <c r="I195" s="3">
        <v>0</v>
      </c>
      <c r="J195" s="3">
        <v>0</v>
      </c>
      <c r="K195" s="3">
        <v>1200000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1200000</v>
      </c>
      <c r="AG195" s="3">
        <v>0</v>
      </c>
      <c r="AH195" s="3">
        <v>0</v>
      </c>
      <c r="AI195" s="3">
        <v>0</v>
      </c>
      <c r="AJ195" s="3">
        <v>1200000</v>
      </c>
      <c r="AK195" s="2" t="s">
        <v>588</v>
      </c>
      <c r="AL195" s="2" t="s">
        <v>589</v>
      </c>
      <c r="AM195" s="3" t="e">
        <f>VLOOKUP(AL195,Table1[],2,FALSE)</f>
        <v>#N/A</v>
      </c>
      <c r="AN195" s="3" t="e">
        <f>VLOOKUP(AL195,Table1[],3,FALSE)</f>
        <v>#N/A</v>
      </c>
      <c r="AO195" s="3" t="e">
        <f>VLOOKUP($AL195,Table1[],4,FALSE)</f>
        <v>#N/A</v>
      </c>
      <c r="AP195" s="3" t="e">
        <f>VLOOKUP($AL195,Table1[],5,FALSE)</f>
        <v>#N/A</v>
      </c>
      <c r="AQ195" s="3" t="e">
        <f>VLOOKUP($AL195,Table1[],6,FALSE)</f>
        <v>#N/A</v>
      </c>
      <c r="AR195" s="3" t="e">
        <f>VLOOKUP($AL195,Table1[],7,FALSE)</f>
        <v>#N/A</v>
      </c>
      <c r="AS195" s="3" t="e">
        <f>VLOOKUP($AL195,Table1[],8,FALSE)</f>
        <v>#N/A</v>
      </c>
    </row>
    <row r="196" spans="1:45" x14ac:dyDescent="0.35">
      <c r="A196" s="2" t="s">
        <v>590</v>
      </c>
      <c r="B196" s="3">
        <v>9500000</v>
      </c>
      <c r="C196" s="3">
        <v>6195900.9699999997</v>
      </c>
      <c r="D196" s="3">
        <v>629530.4</v>
      </c>
      <c r="E196" s="3">
        <v>6825431.3700000001</v>
      </c>
      <c r="F196" s="3">
        <v>2674568.63</v>
      </c>
      <c r="G196" s="3">
        <v>9500000</v>
      </c>
      <c r="H196" s="3">
        <v>6195900.9699999997</v>
      </c>
      <c r="I196" s="3">
        <v>629530.4</v>
      </c>
      <c r="J196" s="3">
        <v>6825431.3700000001</v>
      </c>
      <c r="K196" s="3">
        <v>2674568.63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9500000</v>
      </c>
      <c r="AG196" s="3">
        <v>6195900.9699999997</v>
      </c>
      <c r="AH196" s="3">
        <v>629530.4</v>
      </c>
      <c r="AI196" s="3">
        <v>6825431.3700000001</v>
      </c>
      <c r="AJ196" s="3">
        <v>2674568.63</v>
      </c>
      <c r="AK196" s="2" t="s">
        <v>591</v>
      </c>
      <c r="AL196" s="2" t="s">
        <v>592</v>
      </c>
      <c r="AM196" s="3">
        <f>VLOOKUP(AL196,Table1[],2,FALSE)</f>
        <v>0</v>
      </c>
      <c r="AN196" s="3">
        <f>VLOOKUP(AL196,Table1[],3,FALSE)</f>
        <v>0</v>
      </c>
      <c r="AO196" s="3">
        <f>VLOOKUP($AL196,Table1[],4,FALSE)</f>
        <v>0</v>
      </c>
      <c r="AP196" s="3">
        <f>VLOOKUP($AL196,Table1[],5,FALSE)</f>
        <v>0</v>
      </c>
      <c r="AQ196" s="3">
        <f>VLOOKUP($AL196,Table1[],6,FALSE)</f>
        <v>0</v>
      </c>
      <c r="AR196" s="3">
        <f>VLOOKUP($AL196,Table1[],7,FALSE)</f>
        <v>0</v>
      </c>
      <c r="AS196" s="3">
        <f>VLOOKUP($AL196,Table1[],8,FALSE)</f>
        <v>0</v>
      </c>
    </row>
    <row r="197" spans="1:45" x14ac:dyDescent="0.35">
      <c r="A197" s="2" t="s">
        <v>593</v>
      </c>
      <c r="B197" s="3">
        <v>6000000</v>
      </c>
      <c r="C197" s="3">
        <v>0</v>
      </c>
      <c r="D197" s="3">
        <v>0</v>
      </c>
      <c r="E197" s="3">
        <v>0</v>
      </c>
      <c r="F197" s="3">
        <v>6000000</v>
      </c>
      <c r="G197" s="3">
        <v>6000000</v>
      </c>
      <c r="H197" s="3">
        <v>0</v>
      </c>
      <c r="I197" s="3">
        <v>0</v>
      </c>
      <c r="J197" s="3">
        <v>0</v>
      </c>
      <c r="K197" s="3">
        <v>6000000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6000000</v>
      </c>
      <c r="AG197" s="3">
        <v>0</v>
      </c>
      <c r="AH197" s="3">
        <v>0</v>
      </c>
      <c r="AI197" s="3">
        <v>0</v>
      </c>
      <c r="AJ197" s="3">
        <v>6000000</v>
      </c>
      <c r="AK197" s="2" t="s">
        <v>594</v>
      </c>
      <c r="AL197" s="2" t="s">
        <v>595</v>
      </c>
      <c r="AM197" s="3" t="e">
        <f>VLOOKUP(AL197,Table1[],2,FALSE)</f>
        <v>#N/A</v>
      </c>
      <c r="AN197" s="3" t="e">
        <f>VLOOKUP(AL197,Table1[],3,FALSE)</f>
        <v>#N/A</v>
      </c>
      <c r="AO197" s="3" t="e">
        <f>VLOOKUP($AL197,Table1[],4,FALSE)</f>
        <v>#N/A</v>
      </c>
      <c r="AP197" s="3" t="e">
        <f>VLOOKUP($AL197,Table1[],5,FALSE)</f>
        <v>#N/A</v>
      </c>
      <c r="AQ197" s="3" t="e">
        <f>VLOOKUP($AL197,Table1[],6,FALSE)</f>
        <v>#N/A</v>
      </c>
      <c r="AR197" s="3" t="e">
        <f>VLOOKUP($AL197,Table1[],7,FALSE)</f>
        <v>#N/A</v>
      </c>
      <c r="AS197" s="3" t="e">
        <f>VLOOKUP($AL197,Table1[],8,FALSE)</f>
        <v>#N/A</v>
      </c>
    </row>
    <row r="198" spans="1:45" x14ac:dyDescent="0.35">
      <c r="A198" s="2" t="s">
        <v>596</v>
      </c>
      <c r="B198" s="3">
        <v>1086000</v>
      </c>
      <c r="C198" s="3">
        <v>0</v>
      </c>
      <c r="D198" s="3">
        <v>889406.51</v>
      </c>
      <c r="E198" s="3">
        <v>889406.51</v>
      </c>
      <c r="F198" s="3">
        <v>196593.49</v>
      </c>
      <c r="G198" s="3">
        <v>1086000</v>
      </c>
      <c r="H198" s="3">
        <v>0</v>
      </c>
      <c r="I198" s="3">
        <v>889406.51</v>
      </c>
      <c r="J198" s="3">
        <v>889406.51</v>
      </c>
      <c r="K198" s="3">
        <v>196593.49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1086000</v>
      </c>
      <c r="AG198" s="3">
        <v>0</v>
      </c>
      <c r="AH198" s="3">
        <v>889406.51</v>
      </c>
      <c r="AI198" s="3">
        <v>889406.51</v>
      </c>
      <c r="AJ198" s="3">
        <v>196593.49</v>
      </c>
      <c r="AK198" s="2" t="s">
        <v>597</v>
      </c>
      <c r="AL198" s="2" t="s">
        <v>598</v>
      </c>
      <c r="AM198" s="3" t="e">
        <f>VLOOKUP(AL198,Table1[],2,FALSE)</f>
        <v>#N/A</v>
      </c>
      <c r="AN198" s="3" t="e">
        <f>VLOOKUP(AL198,Table1[],3,FALSE)</f>
        <v>#N/A</v>
      </c>
      <c r="AO198" s="3" t="e">
        <f>VLOOKUP($AL198,Table1[],4,FALSE)</f>
        <v>#N/A</v>
      </c>
      <c r="AP198" s="3" t="e">
        <f>VLOOKUP($AL198,Table1[],5,FALSE)</f>
        <v>#N/A</v>
      </c>
      <c r="AQ198" s="3" t="e">
        <f>VLOOKUP($AL198,Table1[],6,FALSE)</f>
        <v>#N/A</v>
      </c>
      <c r="AR198" s="3" t="e">
        <f>VLOOKUP($AL198,Table1[],7,FALSE)</f>
        <v>#N/A</v>
      </c>
      <c r="AS198" s="3" t="e">
        <f>VLOOKUP($AL198,Table1[],8,FALSE)</f>
        <v>#N/A</v>
      </c>
    </row>
    <row r="199" spans="1:45" x14ac:dyDescent="0.35">
      <c r="A199" s="2" t="s">
        <v>599</v>
      </c>
      <c r="B199" s="3">
        <v>10000000</v>
      </c>
      <c r="C199" s="3">
        <v>0</v>
      </c>
      <c r="D199" s="3">
        <v>1350000</v>
      </c>
      <c r="E199" s="3">
        <v>1350000</v>
      </c>
      <c r="F199" s="3">
        <v>8650000</v>
      </c>
      <c r="G199" s="3">
        <v>10000000</v>
      </c>
      <c r="H199" s="3">
        <v>0</v>
      </c>
      <c r="I199" s="3">
        <v>1350000</v>
      </c>
      <c r="J199" s="3">
        <v>1350000</v>
      </c>
      <c r="K199" s="3">
        <v>8650000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10000000</v>
      </c>
      <c r="AG199" s="3">
        <v>0</v>
      </c>
      <c r="AH199" s="3">
        <v>1350000</v>
      </c>
      <c r="AI199" s="3">
        <v>1350000</v>
      </c>
      <c r="AJ199" s="3">
        <v>8650000</v>
      </c>
      <c r="AK199" s="2" t="s">
        <v>600</v>
      </c>
      <c r="AL199" s="2" t="s">
        <v>601</v>
      </c>
      <c r="AM199" s="3" t="e">
        <f>VLOOKUP(AL199,Table1[],2,FALSE)</f>
        <v>#N/A</v>
      </c>
      <c r="AN199" s="3" t="e">
        <f>VLOOKUP(AL199,Table1[],3,FALSE)</f>
        <v>#N/A</v>
      </c>
      <c r="AO199" s="3" t="e">
        <f>VLOOKUP($AL199,Table1[],4,FALSE)</f>
        <v>#N/A</v>
      </c>
      <c r="AP199" s="3" t="e">
        <f>VLOOKUP($AL199,Table1[],5,FALSE)</f>
        <v>#N/A</v>
      </c>
      <c r="AQ199" s="3" t="e">
        <f>VLOOKUP($AL199,Table1[],6,FALSE)</f>
        <v>#N/A</v>
      </c>
      <c r="AR199" s="3" t="e">
        <f>VLOOKUP($AL199,Table1[],7,FALSE)</f>
        <v>#N/A</v>
      </c>
      <c r="AS199" s="3" t="e">
        <f>VLOOKUP($AL199,Table1[],8,FALSE)</f>
        <v>#N/A</v>
      </c>
    </row>
    <row r="200" spans="1:45" x14ac:dyDescent="0.35">
      <c r="A200" s="2" t="s">
        <v>602</v>
      </c>
      <c r="B200" s="3">
        <v>3500000</v>
      </c>
      <c r="C200" s="3">
        <v>0</v>
      </c>
      <c r="D200" s="3">
        <v>0</v>
      </c>
      <c r="E200" s="3">
        <v>0</v>
      </c>
      <c r="F200" s="3">
        <v>3500000</v>
      </c>
      <c r="G200" s="3">
        <v>3500000</v>
      </c>
      <c r="H200" s="3">
        <v>0</v>
      </c>
      <c r="I200" s="3">
        <v>0</v>
      </c>
      <c r="J200" s="3">
        <v>0</v>
      </c>
      <c r="K200" s="3">
        <v>3500000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3500000</v>
      </c>
      <c r="AG200" s="3">
        <v>0</v>
      </c>
      <c r="AH200" s="3">
        <v>0</v>
      </c>
      <c r="AI200" s="3">
        <v>0</v>
      </c>
      <c r="AJ200" s="3">
        <v>3500000</v>
      </c>
      <c r="AK200" s="2" t="s">
        <v>603</v>
      </c>
      <c r="AL200" s="2" t="s">
        <v>604</v>
      </c>
      <c r="AM200" s="3" t="e">
        <f>VLOOKUP(AL200,Table1[],2,FALSE)</f>
        <v>#N/A</v>
      </c>
      <c r="AN200" s="3" t="e">
        <f>VLOOKUP(AL200,Table1[],3,FALSE)</f>
        <v>#N/A</v>
      </c>
      <c r="AO200" s="3" t="e">
        <f>VLOOKUP($AL200,Table1[],4,FALSE)</f>
        <v>#N/A</v>
      </c>
      <c r="AP200" s="3" t="e">
        <f>VLOOKUP($AL200,Table1[],5,FALSE)</f>
        <v>#N/A</v>
      </c>
      <c r="AQ200" s="3" t="e">
        <f>VLOOKUP($AL200,Table1[],6,FALSE)</f>
        <v>#N/A</v>
      </c>
      <c r="AR200" s="3" t="e">
        <f>VLOOKUP($AL200,Table1[],7,FALSE)</f>
        <v>#N/A</v>
      </c>
      <c r="AS200" s="3" t="e">
        <f>VLOOKUP($AL200,Table1[],8,FALSE)</f>
        <v>#N/A</v>
      </c>
    </row>
    <row r="201" spans="1:45" x14ac:dyDescent="0.35">
      <c r="A201" s="2" t="s">
        <v>605</v>
      </c>
      <c r="B201" s="3">
        <v>8000000</v>
      </c>
      <c r="C201" s="3">
        <v>3466178.74</v>
      </c>
      <c r="D201" s="3">
        <v>0</v>
      </c>
      <c r="E201" s="3">
        <v>3466178.74</v>
      </c>
      <c r="F201" s="3">
        <v>4533821.26</v>
      </c>
      <c r="G201" s="3">
        <v>8000000</v>
      </c>
      <c r="H201" s="3">
        <v>3466178.74</v>
      </c>
      <c r="I201" s="3">
        <v>0</v>
      </c>
      <c r="J201" s="3">
        <v>3466178.74</v>
      </c>
      <c r="K201" s="3">
        <v>4533821.26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8000000</v>
      </c>
      <c r="AG201" s="3">
        <v>3466178.74</v>
      </c>
      <c r="AH201" s="3">
        <v>0</v>
      </c>
      <c r="AI201" s="3">
        <v>3466178.74</v>
      </c>
      <c r="AJ201" s="3">
        <v>4533821.26</v>
      </c>
      <c r="AK201" s="2" t="s">
        <v>606</v>
      </c>
      <c r="AL201" s="2" t="s">
        <v>607</v>
      </c>
      <c r="AM201" s="3">
        <f>VLOOKUP(AL201,Table1[],2,FALSE)</f>
        <v>0</v>
      </c>
      <c r="AN201" s="3">
        <f>VLOOKUP(AL201,Table1[],3,FALSE)</f>
        <v>0</v>
      </c>
      <c r="AO201" s="3">
        <f>VLOOKUP($AL201,Table1[],4,FALSE)</f>
        <v>0</v>
      </c>
      <c r="AP201" s="3">
        <f>VLOOKUP($AL201,Table1[],5,FALSE)</f>
        <v>0</v>
      </c>
      <c r="AQ201" s="3">
        <f>VLOOKUP($AL201,Table1[],6,FALSE)</f>
        <v>0</v>
      </c>
      <c r="AR201" s="3">
        <f>VLOOKUP($AL201,Table1[],7,FALSE)</f>
        <v>0</v>
      </c>
      <c r="AS201" s="3">
        <f>VLOOKUP($AL201,Table1[],8,FALSE)</f>
        <v>0</v>
      </c>
    </row>
    <row r="202" spans="1:45" x14ac:dyDescent="0.35">
      <c r="A202" s="2" t="s">
        <v>608</v>
      </c>
      <c r="B202" s="3">
        <v>200000</v>
      </c>
      <c r="C202" s="3">
        <v>199881.84</v>
      </c>
      <c r="D202" s="3">
        <v>0.04</v>
      </c>
      <c r="E202" s="3">
        <v>199881.88</v>
      </c>
      <c r="F202" s="3">
        <v>118.12</v>
      </c>
      <c r="G202" s="3">
        <v>200000</v>
      </c>
      <c r="H202" s="3">
        <v>199881.84</v>
      </c>
      <c r="I202" s="3">
        <v>0.04</v>
      </c>
      <c r="J202" s="3">
        <v>199881.88</v>
      </c>
      <c r="K202" s="3">
        <v>118.12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200000</v>
      </c>
      <c r="AG202" s="3">
        <v>199881.84</v>
      </c>
      <c r="AH202" s="3">
        <v>0.04</v>
      </c>
      <c r="AI202" s="3">
        <v>199881.88</v>
      </c>
      <c r="AJ202" s="3">
        <v>118.12</v>
      </c>
      <c r="AK202" s="2" t="s">
        <v>609</v>
      </c>
      <c r="AL202" s="2" t="s">
        <v>610</v>
      </c>
      <c r="AM202" s="3">
        <f>VLOOKUP(AL202,Table1[],2,FALSE)</f>
        <v>0</v>
      </c>
      <c r="AN202" s="3">
        <f>VLOOKUP(AL202,Table1[],3,FALSE)</f>
        <v>0</v>
      </c>
      <c r="AO202" s="3">
        <f>VLOOKUP($AL202,Table1[],4,FALSE)</f>
        <v>0</v>
      </c>
      <c r="AP202" s="3">
        <f>VLOOKUP($AL202,Table1[],5,FALSE)</f>
        <v>0</v>
      </c>
      <c r="AQ202" s="3">
        <f>VLOOKUP($AL202,Table1[],6,FALSE)</f>
        <v>0</v>
      </c>
      <c r="AR202" s="3">
        <f>VLOOKUP($AL202,Table1[],7,FALSE)</f>
        <v>0</v>
      </c>
      <c r="AS202" s="3">
        <f>VLOOKUP($AL202,Table1[],8,FALSE)</f>
        <v>0</v>
      </c>
    </row>
    <row r="203" spans="1:45" x14ac:dyDescent="0.35">
      <c r="A203" s="2" t="s">
        <v>611</v>
      </c>
      <c r="B203" s="3">
        <v>850000</v>
      </c>
      <c r="C203" s="3">
        <v>829289.97</v>
      </c>
      <c r="D203" s="3">
        <v>327.02</v>
      </c>
      <c r="E203" s="3">
        <v>829616.99</v>
      </c>
      <c r="F203" s="3">
        <v>20383.009999999998</v>
      </c>
      <c r="G203" s="3">
        <v>850000</v>
      </c>
      <c r="H203" s="3">
        <v>829289.97</v>
      </c>
      <c r="I203" s="3">
        <v>327.02</v>
      </c>
      <c r="J203" s="3">
        <v>829616.99</v>
      </c>
      <c r="K203" s="3">
        <v>20383.009999999998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850000</v>
      </c>
      <c r="AG203" s="3">
        <v>829289.97</v>
      </c>
      <c r="AH203" s="3">
        <v>327.02</v>
      </c>
      <c r="AI203" s="3">
        <v>829616.99</v>
      </c>
      <c r="AJ203" s="3">
        <v>20383.009999999998</v>
      </c>
      <c r="AK203" s="2" t="s">
        <v>612</v>
      </c>
      <c r="AL203" s="2" t="s">
        <v>613</v>
      </c>
      <c r="AM203" s="3">
        <f>VLOOKUP(AL203,Table1[],2,FALSE)</f>
        <v>0</v>
      </c>
      <c r="AN203" s="3">
        <f>VLOOKUP(AL203,Table1[],3,FALSE)</f>
        <v>0</v>
      </c>
      <c r="AO203" s="3">
        <f>VLOOKUP($AL203,Table1[],4,FALSE)</f>
        <v>0</v>
      </c>
      <c r="AP203" s="3">
        <f>VLOOKUP($AL203,Table1[],5,FALSE)</f>
        <v>0</v>
      </c>
      <c r="AQ203" s="3">
        <f>VLOOKUP($AL203,Table1[],6,FALSE)</f>
        <v>0</v>
      </c>
      <c r="AR203" s="3">
        <f>VLOOKUP($AL203,Table1[],7,FALSE)</f>
        <v>0</v>
      </c>
      <c r="AS203" s="3">
        <f>VLOOKUP($AL203,Table1[],8,FALSE)</f>
        <v>0</v>
      </c>
    </row>
    <row r="204" spans="1:45" x14ac:dyDescent="0.35">
      <c r="A204" s="2" t="s">
        <v>614</v>
      </c>
      <c r="B204" s="3">
        <v>48606000</v>
      </c>
      <c r="C204" s="3">
        <v>35448250</v>
      </c>
      <c r="D204" s="3">
        <v>0</v>
      </c>
      <c r="E204" s="3">
        <v>35448250</v>
      </c>
      <c r="F204" s="3">
        <v>13157750</v>
      </c>
      <c r="G204" s="3">
        <v>48606000</v>
      </c>
      <c r="H204" s="3">
        <v>35448250</v>
      </c>
      <c r="I204" s="3">
        <v>0</v>
      </c>
      <c r="J204" s="3">
        <v>35448250</v>
      </c>
      <c r="K204" s="3">
        <v>13157750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48606000</v>
      </c>
      <c r="AG204" s="3">
        <v>35448250</v>
      </c>
      <c r="AH204" s="3">
        <v>0</v>
      </c>
      <c r="AI204" s="3">
        <v>35448250</v>
      </c>
      <c r="AJ204" s="3">
        <v>13157750</v>
      </c>
      <c r="AK204" s="2" t="s">
        <v>615</v>
      </c>
      <c r="AL204" s="2" t="s">
        <v>616</v>
      </c>
      <c r="AM204" s="3">
        <f>VLOOKUP(AL204,Table1[],2,FALSE)</f>
        <v>0</v>
      </c>
      <c r="AN204" s="3">
        <f>VLOOKUP(AL204,Table1[],3,FALSE)</f>
        <v>0</v>
      </c>
      <c r="AO204" s="3">
        <f>VLOOKUP($AL204,Table1[],4,FALSE)</f>
        <v>0</v>
      </c>
      <c r="AP204" s="3">
        <f>VLOOKUP($AL204,Table1[],5,FALSE)</f>
        <v>0</v>
      </c>
      <c r="AQ204" s="3">
        <f>VLOOKUP($AL204,Table1[],6,FALSE)</f>
        <v>0</v>
      </c>
      <c r="AR204" s="3">
        <f>VLOOKUP($AL204,Table1[],7,FALSE)</f>
        <v>0</v>
      </c>
      <c r="AS204" s="3">
        <f>VLOOKUP($AL204,Table1[],8,FALSE)</f>
        <v>0</v>
      </c>
    </row>
    <row r="205" spans="1:45" x14ac:dyDescent="0.35">
      <c r="A205" s="2" t="s">
        <v>617</v>
      </c>
      <c r="B205" s="3">
        <v>5000000</v>
      </c>
      <c r="C205" s="3">
        <v>986901.25</v>
      </c>
      <c r="D205" s="3">
        <v>20053.75</v>
      </c>
      <c r="E205" s="3">
        <v>1006955</v>
      </c>
      <c r="F205" s="3">
        <v>3993045</v>
      </c>
      <c r="G205" s="3">
        <v>5000000</v>
      </c>
      <c r="H205" s="3">
        <v>986901.25</v>
      </c>
      <c r="I205" s="3">
        <v>20053.75</v>
      </c>
      <c r="J205" s="3">
        <v>1006955</v>
      </c>
      <c r="K205" s="3">
        <v>3993045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5000000</v>
      </c>
      <c r="AG205" s="3">
        <v>986901.25</v>
      </c>
      <c r="AH205" s="3">
        <v>20053.75</v>
      </c>
      <c r="AI205" s="3">
        <v>1006955</v>
      </c>
      <c r="AJ205" s="3">
        <v>3993045</v>
      </c>
      <c r="AK205" s="2" t="s">
        <v>618</v>
      </c>
      <c r="AL205" s="2" t="s">
        <v>619</v>
      </c>
      <c r="AM205" s="3">
        <f>VLOOKUP(AL205,Table1[],2,FALSE)</f>
        <v>0</v>
      </c>
      <c r="AN205" s="3">
        <f>VLOOKUP(AL205,Table1[],3,FALSE)</f>
        <v>0</v>
      </c>
      <c r="AO205" s="3">
        <f>VLOOKUP($AL205,Table1[],4,FALSE)</f>
        <v>0</v>
      </c>
      <c r="AP205" s="3">
        <f>VLOOKUP($AL205,Table1[],5,FALSE)</f>
        <v>0</v>
      </c>
      <c r="AQ205" s="3">
        <f>VLOOKUP($AL205,Table1[],6,FALSE)</f>
        <v>0</v>
      </c>
      <c r="AR205" s="3">
        <f>VLOOKUP($AL205,Table1[],7,FALSE)</f>
        <v>0</v>
      </c>
      <c r="AS205" s="3">
        <f>VLOOKUP($AL205,Table1[],8,FALSE)</f>
        <v>0</v>
      </c>
    </row>
    <row r="206" spans="1:45" x14ac:dyDescent="0.35">
      <c r="A206" s="2" t="s">
        <v>620</v>
      </c>
      <c r="B206" s="3">
        <v>12200000</v>
      </c>
      <c r="C206" s="3">
        <v>7321468</v>
      </c>
      <c r="D206" s="3">
        <v>0</v>
      </c>
      <c r="E206" s="3">
        <v>7321468</v>
      </c>
      <c r="F206" s="3">
        <v>4878532</v>
      </c>
      <c r="G206" s="3">
        <v>12200000</v>
      </c>
      <c r="H206" s="3">
        <v>7321468</v>
      </c>
      <c r="I206" s="3">
        <v>0</v>
      </c>
      <c r="J206" s="3">
        <v>7321468</v>
      </c>
      <c r="K206" s="3">
        <v>4878532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12200000</v>
      </c>
      <c r="AG206" s="3">
        <v>7321468</v>
      </c>
      <c r="AH206" s="3">
        <v>0</v>
      </c>
      <c r="AI206" s="3">
        <v>7321468</v>
      </c>
      <c r="AJ206" s="3">
        <v>4878532</v>
      </c>
      <c r="AK206" s="2" t="s">
        <v>621</v>
      </c>
      <c r="AL206" s="2" t="s">
        <v>622</v>
      </c>
      <c r="AM206" s="3">
        <f>VLOOKUP(AL206,Table1[],2,FALSE)</f>
        <v>0</v>
      </c>
      <c r="AN206" s="3">
        <f>VLOOKUP(AL206,Table1[],3,FALSE)</f>
        <v>0</v>
      </c>
      <c r="AO206" s="3">
        <f>VLOOKUP($AL206,Table1[],4,FALSE)</f>
        <v>0</v>
      </c>
      <c r="AP206" s="3">
        <f>VLOOKUP($AL206,Table1[],5,FALSE)</f>
        <v>0</v>
      </c>
      <c r="AQ206" s="3">
        <f>VLOOKUP($AL206,Table1[],6,FALSE)</f>
        <v>0</v>
      </c>
      <c r="AR206" s="3">
        <f>VLOOKUP($AL206,Table1[],7,FALSE)</f>
        <v>0</v>
      </c>
      <c r="AS206" s="3">
        <f>VLOOKUP($AL206,Table1[],8,FALSE)</f>
        <v>0</v>
      </c>
    </row>
    <row r="207" spans="1:45" x14ac:dyDescent="0.35">
      <c r="A207" s="2" t="s">
        <v>623</v>
      </c>
      <c r="B207" s="3">
        <v>1000000</v>
      </c>
      <c r="C207" s="3">
        <v>0</v>
      </c>
      <c r="D207" s="3">
        <v>0</v>
      </c>
      <c r="E207" s="3">
        <v>0</v>
      </c>
      <c r="F207" s="3">
        <v>1000000</v>
      </c>
      <c r="G207" s="3">
        <v>1000000</v>
      </c>
      <c r="H207" s="3">
        <v>0</v>
      </c>
      <c r="I207" s="3">
        <v>0</v>
      </c>
      <c r="J207" s="3">
        <v>0</v>
      </c>
      <c r="K207" s="3">
        <v>1000000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1000000</v>
      </c>
      <c r="AG207" s="3">
        <v>0</v>
      </c>
      <c r="AH207" s="3">
        <v>0</v>
      </c>
      <c r="AI207" s="3">
        <v>0</v>
      </c>
      <c r="AJ207" s="3">
        <v>1000000</v>
      </c>
      <c r="AK207" s="2" t="s">
        <v>624</v>
      </c>
      <c r="AL207" s="2" t="s">
        <v>625</v>
      </c>
      <c r="AM207" s="3" t="e">
        <f>VLOOKUP(AL207,Table1[],2,FALSE)</f>
        <v>#N/A</v>
      </c>
      <c r="AN207" s="3" t="e">
        <f>VLOOKUP(AL207,Table1[],3,FALSE)</f>
        <v>#N/A</v>
      </c>
      <c r="AO207" s="3" t="e">
        <f>VLOOKUP($AL207,Table1[],4,FALSE)</f>
        <v>#N/A</v>
      </c>
      <c r="AP207" s="3" t="e">
        <f>VLOOKUP($AL207,Table1[],5,FALSE)</f>
        <v>#N/A</v>
      </c>
      <c r="AQ207" s="3" t="e">
        <f>VLOOKUP($AL207,Table1[],6,FALSE)</f>
        <v>#N/A</v>
      </c>
      <c r="AR207" s="3" t="e">
        <f>VLOOKUP($AL207,Table1[],7,FALSE)</f>
        <v>#N/A</v>
      </c>
      <c r="AS207" s="3" t="e">
        <f>VLOOKUP($AL207,Table1[],8,FALSE)</f>
        <v>#N/A</v>
      </c>
    </row>
    <row r="208" spans="1:45" x14ac:dyDescent="0.35">
      <c r="A208" s="2" t="s">
        <v>626</v>
      </c>
      <c r="B208" s="3">
        <v>1500000</v>
      </c>
      <c r="C208" s="3">
        <v>945679.9</v>
      </c>
      <c r="D208" s="3">
        <v>532540.91</v>
      </c>
      <c r="E208" s="3">
        <v>1478220.81</v>
      </c>
      <c r="F208" s="3">
        <v>21779.19</v>
      </c>
      <c r="G208" s="3">
        <v>1500000</v>
      </c>
      <c r="H208" s="3">
        <v>945679.9</v>
      </c>
      <c r="I208" s="3">
        <v>532540.91</v>
      </c>
      <c r="J208" s="3">
        <v>1478220.81</v>
      </c>
      <c r="K208" s="3">
        <v>21779.19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1500000</v>
      </c>
      <c r="AG208" s="3">
        <v>945679.9</v>
      </c>
      <c r="AH208" s="3">
        <v>532540.91</v>
      </c>
      <c r="AI208" s="3">
        <v>1478220.81</v>
      </c>
      <c r="AJ208" s="3">
        <v>21779.19</v>
      </c>
      <c r="AK208" s="2" t="s">
        <v>627</v>
      </c>
      <c r="AL208" s="2" t="s">
        <v>628</v>
      </c>
      <c r="AM208" s="3">
        <f>VLOOKUP(AL208,Table1[],2,FALSE)</f>
        <v>0</v>
      </c>
      <c r="AN208" s="3">
        <f>VLOOKUP(AL208,Table1[],3,FALSE)</f>
        <v>0</v>
      </c>
      <c r="AO208" s="3">
        <f>VLOOKUP($AL208,Table1[],4,FALSE)</f>
        <v>0</v>
      </c>
      <c r="AP208" s="3">
        <f>VLOOKUP($AL208,Table1[],5,FALSE)</f>
        <v>0</v>
      </c>
      <c r="AQ208" s="3">
        <f>VLOOKUP($AL208,Table1[],6,FALSE)</f>
        <v>0</v>
      </c>
      <c r="AR208" s="3">
        <f>VLOOKUP($AL208,Table1[],7,FALSE)</f>
        <v>0</v>
      </c>
      <c r="AS208" s="3">
        <f>VLOOKUP($AL208,Table1[],8,FALSE)</f>
        <v>0</v>
      </c>
    </row>
    <row r="209" spans="1:45" x14ac:dyDescent="0.35">
      <c r="A209" s="2" t="s">
        <v>629</v>
      </c>
      <c r="B209" s="3">
        <v>2543000</v>
      </c>
      <c r="C209" s="3">
        <v>655672.69999999995</v>
      </c>
      <c r="D209" s="3">
        <v>1344091.36</v>
      </c>
      <c r="E209" s="3">
        <v>1999764.06</v>
      </c>
      <c r="F209" s="3">
        <v>543235.93999999994</v>
      </c>
      <c r="G209" s="3">
        <v>2543000</v>
      </c>
      <c r="H209" s="3">
        <v>655672.69999999995</v>
      </c>
      <c r="I209" s="3">
        <v>1344091.36</v>
      </c>
      <c r="J209" s="3">
        <v>1999764.06</v>
      </c>
      <c r="K209" s="3">
        <v>543235.93999999994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2543000</v>
      </c>
      <c r="AG209" s="3">
        <v>655672.69999999995</v>
      </c>
      <c r="AH209" s="3">
        <v>1344091.36</v>
      </c>
      <c r="AI209" s="3">
        <v>1999764.06</v>
      </c>
      <c r="AJ209" s="3">
        <v>543235.93999999994</v>
      </c>
      <c r="AK209" s="2" t="s">
        <v>630</v>
      </c>
      <c r="AL209" s="2" t="s">
        <v>631</v>
      </c>
      <c r="AM209" s="3">
        <f>VLOOKUP(AL209,Table1[],2,FALSE)</f>
        <v>0</v>
      </c>
      <c r="AN209" s="3">
        <f>VLOOKUP(AL209,Table1[],3,FALSE)</f>
        <v>0</v>
      </c>
      <c r="AO209" s="3">
        <f>VLOOKUP($AL209,Table1[],4,FALSE)</f>
        <v>0</v>
      </c>
      <c r="AP209" s="3">
        <f>VLOOKUP($AL209,Table1[],5,FALSE)</f>
        <v>0</v>
      </c>
      <c r="AQ209" s="3">
        <f>VLOOKUP($AL209,Table1[],6,FALSE)</f>
        <v>0</v>
      </c>
      <c r="AR209" s="3">
        <f>VLOOKUP($AL209,Table1[],7,FALSE)</f>
        <v>0</v>
      </c>
      <c r="AS209" s="3">
        <f>VLOOKUP($AL209,Table1[],8,FALSE)</f>
        <v>0</v>
      </c>
    </row>
    <row r="210" spans="1:45" x14ac:dyDescent="0.35">
      <c r="A210" s="2" t="s">
        <v>632</v>
      </c>
      <c r="B210" s="3">
        <v>5000000</v>
      </c>
      <c r="C210" s="3">
        <v>0</v>
      </c>
      <c r="D210" s="3">
        <v>4227586.5199999996</v>
      </c>
      <c r="E210" s="3">
        <v>4227586.5199999996</v>
      </c>
      <c r="F210" s="3">
        <v>772413.48</v>
      </c>
      <c r="G210" s="3">
        <v>5000000</v>
      </c>
      <c r="H210" s="3">
        <v>0</v>
      </c>
      <c r="I210" s="3">
        <v>4227586.5199999996</v>
      </c>
      <c r="J210" s="3">
        <v>4227586.5199999996</v>
      </c>
      <c r="K210" s="3">
        <v>772413.48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5000000</v>
      </c>
      <c r="AG210" s="3">
        <v>0</v>
      </c>
      <c r="AH210" s="3">
        <v>4227586.5199999996</v>
      </c>
      <c r="AI210" s="3">
        <v>4227586.5199999996</v>
      </c>
      <c r="AJ210" s="3">
        <v>772413.48</v>
      </c>
      <c r="AK210" s="2" t="s">
        <v>633</v>
      </c>
      <c r="AL210" s="2" t="s">
        <v>634</v>
      </c>
      <c r="AM210" s="3" t="e">
        <f>VLOOKUP(AL210,Table1[],2,FALSE)</f>
        <v>#N/A</v>
      </c>
      <c r="AN210" s="3" t="e">
        <f>VLOOKUP(AL210,Table1[],3,FALSE)</f>
        <v>#N/A</v>
      </c>
      <c r="AO210" s="3" t="e">
        <f>VLOOKUP($AL210,Table1[],4,FALSE)</f>
        <v>#N/A</v>
      </c>
      <c r="AP210" s="3" t="e">
        <f>VLOOKUP($AL210,Table1[],5,FALSE)</f>
        <v>#N/A</v>
      </c>
      <c r="AQ210" s="3" t="e">
        <f>VLOOKUP($AL210,Table1[],6,FALSE)</f>
        <v>#N/A</v>
      </c>
      <c r="AR210" s="3" t="e">
        <f>VLOOKUP($AL210,Table1[],7,FALSE)</f>
        <v>#N/A</v>
      </c>
      <c r="AS210" s="3" t="e">
        <f>VLOOKUP($AL210,Table1[],8,FALSE)</f>
        <v>#N/A</v>
      </c>
    </row>
    <row r="211" spans="1:45" x14ac:dyDescent="0.35">
      <c r="A211" s="2" t="s">
        <v>635</v>
      </c>
      <c r="B211" s="3">
        <v>50000000</v>
      </c>
      <c r="C211" s="3">
        <v>50000000</v>
      </c>
      <c r="D211" s="3">
        <v>0</v>
      </c>
      <c r="E211" s="3">
        <v>50000000</v>
      </c>
      <c r="F211" s="3">
        <v>0</v>
      </c>
      <c r="G211" s="3">
        <v>50000000</v>
      </c>
      <c r="H211" s="3">
        <v>50000000</v>
      </c>
      <c r="I211" s="3">
        <v>0</v>
      </c>
      <c r="J211" s="3">
        <v>50000000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50000000</v>
      </c>
      <c r="AG211" s="3">
        <v>50000000</v>
      </c>
      <c r="AH211" s="3">
        <v>0</v>
      </c>
      <c r="AI211" s="3">
        <v>50000000</v>
      </c>
      <c r="AJ211" s="3">
        <v>0</v>
      </c>
      <c r="AK211" s="2" t="s">
        <v>636</v>
      </c>
      <c r="AL211" s="2" t="s">
        <v>637</v>
      </c>
      <c r="AM211" s="3">
        <f>VLOOKUP(AL211,Table1[],2,FALSE)</f>
        <v>0</v>
      </c>
      <c r="AN211" s="3">
        <f>VLOOKUP(AL211,Table1[],3,FALSE)</f>
        <v>0</v>
      </c>
      <c r="AO211" s="3">
        <f>VLOOKUP($AL211,Table1[],4,FALSE)</f>
        <v>0</v>
      </c>
      <c r="AP211" s="3">
        <f>VLOOKUP($AL211,Table1[],5,FALSE)</f>
        <v>0</v>
      </c>
      <c r="AQ211" s="3">
        <f>VLOOKUP($AL211,Table1[],6,FALSE)</f>
        <v>0</v>
      </c>
      <c r="AR211" s="3">
        <f>VLOOKUP($AL211,Table1[],7,FALSE)</f>
        <v>0</v>
      </c>
      <c r="AS211" s="3">
        <f>VLOOKUP($AL211,Table1[],8,FALSE)</f>
        <v>0</v>
      </c>
    </row>
    <row r="212" spans="1:45" x14ac:dyDescent="0.35">
      <c r="A212" s="2" t="s">
        <v>638</v>
      </c>
      <c r="B212" s="3">
        <v>2000000</v>
      </c>
      <c r="C212" s="3">
        <v>0</v>
      </c>
      <c r="D212" s="3">
        <v>0</v>
      </c>
      <c r="E212" s="3">
        <v>0</v>
      </c>
      <c r="F212" s="3">
        <v>2000000</v>
      </c>
      <c r="G212" s="3">
        <v>2000000</v>
      </c>
      <c r="H212" s="3">
        <v>0</v>
      </c>
      <c r="I212" s="3">
        <v>0</v>
      </c>
      <c r="J212" s="3">
        <v>0</v>
      </c>
      <c r="K212" s="3">
        <v>2000000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2000000</v>
      </c>
      <c r="AG212" s="3">
        <v>0</v>
      </c>
      <c r="AH212" s="3">
        <v>0</v>
      </c>
      <c r="AI212" s="3">
        <v>0</v>
      </c>
      <c r="AJ212" s="3">
        <v>2000000</v>
      </c>
      <c r="AK212" s="2" t="s">
        <v>639</v>
      </c>
      <c r="AL212" s="2" t="s">
        <v>640</v>
      </c>
      <c r="AM212" s="3" t="e">
        <f>VLOOKUP(AL212,Table1[],2,FALSE)</f>
        <v>#N/A</v>
      </c>
      <c r="AN212" s="3" t="e">
        <f>VLOOKUP(AL212,Table1[],3,FALSE)</f>
        <v>#N/A</v>
      </c>
      <c r="AO212" s="3" t="e">
        <f>VLOOKUP($AL212,Table1[],4,FALSE)</f>
        <v>#N/A</v>
      </c>
      <c r="AP212" s="3" t="e">
        <f>VLOOKUP($AL212,Table1[],5,FALSE)</f>
        <v>#N/A</v>
      </c>
      <c r="AQ212" s="3" t="e">
        <f>VLOOKUP($AL212,Table1[],6,FALSE)</f>
        <v>#N/A</v>
      </c>
      <c r="AR212" s="3" t="e">
        <f>VLOOKUP($AL212,Table1[],7,FALSE)</f>
        <v>#N/A</v>
      </c>
      <c r="AS212" s="3" t="e">
        <f>VLOOKUP($AL212,Table1[],8,FALSE)</f>
        <v>#N/A</v>
      </c>
    </row>
    <row r="213" spans="1:45" x14ac:dyDescent="0.35">
      <c r="A213" s="2" t="s">
        <v>641</v>
      </c>
      <c r="B213" s="3">
        <v>3000000</v>
      </c>
      <c r="C213" s="3">
        <v>0</v>
      </c>
      <c r="D213" s="3">
        <v>0</v>
      </c>
      <c r="E213" s="3">
        <v>0</v>
      </c>
      <c r="F213" s="3">
        <v>3000000</v>
      </c>
      <c r="G213" s="3">
        <v>3000000</v>
      </c>
      <c r="H213" s="3">
        <v>0</v>
      </c>
      <c r="I213" s="3">
        <v>0</v>
      </c>
      <c r="J213" s="3">
        <v>0</v>
      </c>
      <c r="K213" s="3">
        <v>3000000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3000000</v>
      </c>
      <c r="AG213" s="3">
        <v>0</v>
      </c>
      <c r="AH213" s="3">
        <v>0</v>
      </c>
      <c r="AI213" s="3">
        <v>0</v>
      </c>
      <c r="AJ213" s="3">
        <v>3000000</v>
      </c>
      <c r="AK213" s="2" t="s">
        <v>642</v>
      </c>
      <c r="AL213" s="2" t="s">
        <v>643</v>
      </c>
      <c r="AM213" s="3" t="e">
        <f>VLOOKUP(AL213,Table1[],2,FALSE)</f>
        <v>#N/A</v>
      </c>
      <c r="AN213" s="3" t="e">
        <f>VLOOKUP(AL213,Table1[],3,FALSE)</f>
        <v>#N/A</v>
      </c>
      <c r="AO213" s="3" t="e">
        <f>VLOOKUP($AL213,Table1[],4,FALSE)</f>
        <v>#N/A</v>
      </c>
      <c r="AP213" s="3" t="e">
        <f>VLOOKUP($AL213,Table1[],5,FALSE)</f>
        <v>#N/A</v>
      </c>
      <c r="AQ213" s="3" t="e">
        <f>VLOOKUP($AL213,Table1[],6,FALSE)</f>
        <v>#N/A</v>
      </c>
      <c r="AR213" s="3" t="e">
        <f>VLOOKUP($AL213,Table1[],7,FALSE)</f>
        <v>#N/A</v>
      </c>
      <c r="AS213" s="3" t="e">
        <f>VLOOKUP($AL213,Table1[],8,FALSE)</f>
        <v>#N/A</v>
      </c>
    </row>
    <row r="214" spans="1:45" x14ac:dyDescent="0.35">
      <c r="A214" s="2" t="s">
        <v>644</v>
      </c>
      <c r="B214" s="3">
        <v>8700000</v>
      </c>
      <c r="C214" s="3">
        <v>0</v>
      </c>
      <c r="D214" s="3">
        <v>0</v>
      </c>
      <c r="E214" s="3">
        <v>0</v>
      </c>
      <c r="F214" s="3">
        <v>8700000</v>
      </c>
      <c r="G214" s="3">
        <v>8700000</v>
      </c>
      <c r="H214" s="3">
        <v>0</v>
      </c>
      <c r="I214" s="3">
        <v>0</v>
      </c>
      <c r="J214" s="3">
        <v>0</v>
      </c>
      <c r="K214" s="3">
        <v>8700000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8700000</v>
      </c>
      <c r="AG214" s="3">
        <v>0</v>
      </c>
      <c r="AH214" s="3">
        <v>0</v>
      </c>
      <c r="AI214" s="3">
        <v>0</v>
      </c>
      <c r="AJ214" s="3">
        <v>8700000</v>
      </c>
      <c r="AK214" s="2" t="s">
        <v>645</v>
      </c>
      <c r="AL214" s="2" t="s">
        <v>646</v>
      </c>
      <c r="AM214" s="3" t="e">
        <f>VLOOKUP(AL214,Table1[],2,FALSE)</f>
        <v>#N/A</v>
      </c>
      <c r="AN214" s="3" t="e">
        <f>VLOOKUP(AL214,Table1[],3,FALSE)</f>
        <v>#N/A</v>
      </c>
      <c r="AO214" s="3" t="e">
        <f>VLOOKUP($AL214,Table1[],4,FALSE)</f>
        <v>#N/A</v>
      </c>
      <c r="AP214" s="3" t="e">
        <f>VLOOKUP($AL214,Table1[],5,FALSE)</f>
        <v>#N/A</v>
      </c>
      <c r="AQ214" s="3" t="e">
        <f>VLOOKUP($AL214,Table1[],6,FALSE)</f>
        <v>#N/A</v>
      </c>
      <c r="AR214" s="3" t="e">
        <f>VLOOKUP($AL214,Table1[],7,FALSE)</f>
        <v>#N/A</v>
      </c>
      <c r="AS214" s="3" t="e">
        <f>VLOOKUP($AL214,Table1[],8,FALSE)</f>
        <v>#N/A</v>
      </c>
    </row>
    <row r="215" spans="1:45" x14ac:dyDescent="0.35">
      <c r="A215" s="2" t="s">
        <v>647</v>
      </c>
      <c r="B215" s="3">
        <v>3000000</v>
      </c>
      <c r="C215" s="3">
        <v>2099308.4500000002</v>
      </c>
      <c r="D215" s="3">
        <v>70932.81</v>
      </c>
      <c r="E215" s="3">
        <v>2170241.2599999998</v>
      </c>
      <c r="F215" s="3">
        <v>829758.74</v>
      </c>
      <c r="G215" s="3">
        <v>3000000</v>
      </c>
      <c r="H215" s="3">
        <v>2099308.4500000002</v>
      </c>
      <c r="I215" s="3">
        <v>70932.81</v>
      </c>
      <c r="J215" s="3">
        <v>2170241.2599999998</v>
      </c>
      <c r="K215" s="3">
        <v>829758.74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3000000</v>
      </c>
      <c r="AG215" s="3">
        <v>2099308.4500000002</v>
      </c>
      <c r="AH215" s="3">
        <v>70932.81</v>
      </c>
      <c r="AI215" s="3">
        <v>2170241.2599999998</v>
      </c>
      <c r="AJ215" s="3">
        <v>829758.74</v>
      </c>
      <c r="AK215" s="2" t="s">
        <v>648</v>
      </c>
      <c r="AL215" s="2" t="s">
        <v>649</v>
      </c>
      <c r="AM215" s="3">
        <f>VLOOKUP(AL215,Table1[],2,FALSE)</f>
        <v>0</v>
      </c>
      <c r="AN215" s="3">
        <f>VLOOKUP(AL215,Table1[],3,FALSE)</f>
        <v>0</v>
      </c>
      <c r="AO215" s="3">
        <f>VLOOKUP($AL215,Table1[],4,FALSE)</f>
        <v>0</v>
      </c>
      <c r="AP215" s="3">
        <f>VLOOKUP($AL215,Table1[],5,FALSE)</f>
        <v>0</v>
      </c>
      <c r="AQ215" s="3">
        <f>VLOOKUP($AL215,Table1[],6,FALSE)</f>
        <v>0</v>
      </c>
      <c r="AR215" s="3">
        <f>VLOOKUP($AL215,Table1[],7,FALSE)</f>
        <v>0</v>
      </c>
      <c r="AS215" s="3">
        <f>VLOOKUP($AL215,Table1[],8,FALSE)</f>
        <v>0</v>
      </c>
    </row>
    <row r="216" spans="1:45" x14ac:dyDescent="0.35">
      <c r="A216" s="2" t="s">
        <v>650</v>
      </c>
      <c r="B216" s="3">
        <v>6000000</v>
      </c>
      <c r="C216" s="3">
        <v>0</v>
      </c>
      <c r="D216" s="3">
        <v>0</v>
      </c>
      <c r="E216" s="3">
        <v>0</v>
      </c>
      <c r="F216" s="3">
        <v>6000000</v>
      </c>
      <c r="G216" s="3">
        <v>6000000</v>
      </c>
      <c r="H216" s="3">
        <v>0</v>
      </c>
      <c r="I216" s="3">
        <v>0</v>
      </c>
      <c r="J216" s="3">
        <v>0</v>
      </c>
      <c r="K216" s="3">
        <v>6000000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6000000</v>
      </c>
      <c r="AG216" s="3">
        <v>0</v>
      </c>
      <c r="AH216" s="3">
        <v>0</v>
      </c>
      <c r="AI216" s="3">
        <v>0</v>
      </c>
      <c r="AJ216" s="3">
        <v>6000000</v>
      </c>
      <c r="AK216" s="2" t="s">
        <v>651</v>
      </c>
      <c r="AL216" s="2" t="s">
        <v>652</v>
      </c>
      <c r="AM216" s="3" t="e">
        <f>VLOOKUP(AL216,Table1[],2,FALSE)</f>
        <v>#N/A</v>
      </c>
      <c r="AN216" s="3" t="e">
        <f>VLOOKUP(AL216,Table1[],3,FALSE)</f>
        <v>#N/A</v>
      </c>
      <c r="AO216" s="3" t="e">
        <f>VLOOKUP($AL216,Table1[],4,FALSE)</f>
        <v>#N/A</v>
      </c>
      <c r="AP216" s="3" t="e">
        <f>VLOOKUP($AL216,Table1[],5,FALSE)</f>
        <v>#N/A</v>
      </c>
      <c r="AQ216" s="3" t="e">
        <f>VLOOKUP($AL216,Table1[],6,FALSE)</f>
        <v>#N/A</v>
      </c>
      <c r="AR216" s="3" t="e">
        <f>VLOOKUP($AL216,Table1[],7,FALSE)</f>
        <v>#N/A</v>
      </c>
      <c r="AS216" s="3" t="e">
        <f>VLOOKUP($AL216,Table1[],8,FALSE)</f>
        <v>#N/A</v>
      </c>
    </row>
    <row r="217" spans="1:45" x14ac:dyDescent="0.35">
      <c r="A217" s="2" t="s">
        <v>653</v>
      </c>
      <c r="B217" s="3">
        <v>1125000</v>
      </c>
      <c r="C217" s="3">
        <v>0</v>
      </c>
      <c r="D217" s="3">
        <v>0</v>
      </c>
      <c r="E217" s="3">
        <v>0</v>
      </c>
      <c r="F217" s="3">
        <v>1125000</v>
      </c>
      <c r="G217" s="3">
        <v>1125000</v>
      </c>
      <c r="H217" s="3">
        <v>0</v>
      </c>
      <c r="I217" s="3">
        <v>0</v>
      </c>
      <c r="J217" s="3">
        <v>0</v>
      </c>
      <c r="K217" s="3">
        <v>1125000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1125000</v>
      </c>
      <c r="AG217" s="3">
        <v>0</v>
      </c>
      <c r="AH217" s="3">
        <v>0</v>
      </c>
      <c r="AI217" s="3">
        <v>0</v>
      </c>
      <c r="AJ217" s="3">
        <v>1125000</v>
      </c>
      <c r="AK217" s="2" t="s">
        <v>654</v>
      </c>
      <c r="AL217" s="2" t="s">
        <v>655</v>
      </c>
      <c r="AM217" s="3">
        <f>VLOOKUP(AL217,Table1[],2,FALSE)</f>
        <v>0</v>
      </c>
      <c r="AN217" s="3">
        <f>VLOOKUP(AL217,Table1[],3,FALSE)</f>
        <v>0</v>
      </c>
      <c r="AO217" s="3">
        <f>VLOOKUP($AL217,Table1[],4,FALSE)</f>
        <v>0</v>
      </c>
      <c r="AP217" s="3">
        <f>VLOOKUP($AL217,Table1[],5,FALSE)</f>
        <v>0</v>
      </c>
      <c r="AQ217" s="3">
        <f>VLOOKUP($AL217,Table1[],6,FALSE)</f>
        <v>0</v>
      </c>
      <c r="AR217" s="3">
        <f>VLOOKUP($AL217,Table1[],7,FALSE)</f>
        <v>0</v>
      </c>
      <c r="AS217" s="3">
        <f>VLOOKUP($AL217,Table1[],8,FALSE)</f>
        <v>0</v>
      </c>
    </row>
    <row r="218" spans="1:45" x14ac:dyDescent="0.35">
      <c r="A218" s="2" t="s">
        <v>656</v>
      </c>
      <c r="B218" s="3">
        <v>400000</v>
      </c>
      <c r="C218" s="3">
        <v>0</v>
      </c>
      <c r="D218" s="3">
        <v>0</v>
      </c>
      <c r="E218" s="3">
        <v>0</v>
      </c>
      <c r="F218" s="3">
        <v>400000</v>
      </c>
      <c r="G218" s="3">
        <v>400000</v>
      </c>
      <c r="H218" s="3">
        <v>0</v>
      </c>
      <c r="I218" s="3">
        <v>0</v>
      </c>
      <c r="J218" s="3">
        <v>0</v>
      </c>
      <c r="K218" s="3">
        <v>400000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400000</v>
      </c>
      <c r="AG218" s="3">
        <v>0</v>
      </c>
      <c r="AH218" s="3">
        <v>0</v>
      </c>
      <c r="AI218" s="3">
        <v>0</v>
      </c>
      <c r="AJ218" s="3">
        <v>400000</v>
      </c>
      <c r="AK218" s="2" t="s">
        <v>657</v>
      </c>
      <c r="AL218" s="2" t="s">
        <v>658</v>
      </c>
      <c r="AM218" s="3" t="e">
        <f>VLOOKUP(AL218,Table1[],2,FALSE)</f>
        <v>#N/A</v>
      </c>
      <c r="AN218" s="3" t="e">
        <f>VLOOKUP(AL218,Table1[],3,FALSE)</f>
        <v>#N/A</v>
      </c>
      <c r="AO218" s="3" t="e">
        <f>VLOOKUP($AL218,Table1[],4,FALSE)</f>
        <v>#N/A</v>
      </c>
      <c r="AP218" s="3" t="e">
        <f>VLOOKUP($AL218,Table1[],5,FALSE)</f>
        <v>#N/A</v>
      </c>
      <c r="AQ218" s="3" t="e">
        <f>VLOOKUP($AL218,Table1[],6,FALSE)</f>
        <v>#N/A</v>
      </c>
      <c r="AR218" s="3" t="e">
        <f>VLOOKUP($AL218,Table1[],7,FALSE)</f>
        <v>#N/A</v>
      </c>
      <c r="AS218" s="3" t="e">
        <f>VLOOKUP($AL218,Table1[],8,FALSE)</f>
        <v>#N/A</v>
      </c>
    </row>
    <row r="219" spans="1:45" x14ac:dyDescent="0.35">
      <c r="A219" s="2" t="s">
        <v>659</v>
      </c>
      <c r="B219" s="3">
        <v>3000000</v>
      </c>
      <c r="C219" s="3">
        <v>3000000</v>
      </c>
      <c r="D219" s="3">
        <v>0</v>
      </c>
      <c r="E219" s="3">
        <v>3000000</v>
      </c>
      <c r="F219" s="3">
        <v>0</v>
      </c>
      <c r="G219" s="3">
        <v>3000000</v>
      </c>
      <c r="H219" s="3">
        <v>3000000</v>
      </c>
      <c r="I219" s="3">
        <v>0</v>
      </c>
      <c r="J219" s="3">
        <v>3000000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3000000</v>
      </c>
      <c r="AG219" s="3">
        <v>3000000</v>
      </c>
      <c r="AH219" s="3">
        <v>0</v>
      </c>
      <c r="AI219" s="3">
        <v>3000000</v>
      </c>
      <c r="AJ219" s="3">
        <v>0</v>
      </c>
      <c r="AK219" s="2" t="s">
        <v>660</v>
      </c>
      <c r="AL219" s="2" t="s">
        <v>661</v>
      </c>
      <c r="AM219" s="3">
        <f>VLOOKUP(AL219,Table1[],2,FALSE)</f>
        <v>0</v>
      </c>
      <c r="AN219" s="3">
        <f>VLOOKUP(AL219,Table1[],3,FALSE)</f>
        <v>0</v>
      </c>
      <c r="AO219" s="3">
        <f>VLOOKUP($AL219,Table1[],4,FALSE)</f>
        <v>0</v>
      </c>
      <c r="AP219" s="3">
        <f>VLOOKUP($AL219,Table1[],5,FALSE)</f>
        <v>0</v>
      </c>
      <c r="AQ219" s="3">
        <f>VLOOKUP($AL219,Table1[],6,FALSE)</f>
        <v>0</v>
      </c>
      <c r="AR219" s="3">
        <f>VLOOKUP($AL219,Table1[],7,FALSE)</f>
        <v>0</v>
      </c>
      <c r="AS219" s="3">
        <f>VLOOKUP($AL219,Table1[],8,FALSE)</f>
        <v>0</v>
      </c>
    </row>
    <row r="220" spans="1:45" x14ac:dyDescent="0.35">
      <c r="A220" s="2" t="s">
        <v>662</v>
      </c>
      <c r="B220" s="3">
        <v>500000</v>
      </c>
      <c r="C220" s="3">
        <v>0</v>
      </c>
      <c r="D220" s="3">
        <v>0</v>
      </c>
      <c r="E220" s="3">
        <v>0</v>
      </c>
      <c r="F220" s="3">
        <v>500000</v>
      </c>
      <c r="G220" s="3">
        <v>500000</v>
      </c>
      <c r="H220" s="3">
        <v>0</v>
      </c>
      <c r="I220" s="3">
        <v>0</v>
      </c>
      <c r="J220" s="3">
        <v>0</v>
      </c>
      <c r="K220" s="3">
        <v>500000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500000</v>
      </c>
      <c r="AG220" s="3">
        <v>0</v>
      </c>
      <c r="AH220" s="3">
        <v>0</v>
      </c>
      <c r="AI220" s="3">
        <v>0</v>
      </c>
      <c r="AJ220" s="3">
        <v>500000</v>
      </c>
      <c r="AK220" s="2" t="s">
        <v>663</v>
      </c>
      <c r="AL220" s="2" t="s">
        <v>664</v>
      </c>
      <c r="AM220" s="3" t="e">
        <f>VLOOKUP(AL220,Table1[],2,FALSE)</f>
        <v>#N/A</v>
      </c>
      <c r="AN220" s="3" t="e">
        <f>VLOOKUP(AL220,Table1[],3,FALSE)</f>
        <v>#N/A</v>
      </c>
      <c r="AO220" s="3" t="e">
        <f>VLOOKUP($AL220,Table1[],4,FALSE)</f>
        <v>#N/A</v>
      </c>
      <c r="AP220" s="3" t="e">
        <f>VLOOKUP($AL220,Table1[],5,FALSE)</f>
        <v>#N/A</v>
      </c>
      <c r="AQ220" s="3" t="e">
        <f>VLOOKUP($AL220,Table1[],6,FALSE)</f>
        <v>#N/A</v>
      </c>
      <c r="AR220" s="3" t="e">
        <f>VLOOKUP($AL220,Table1[],7,FALSE)</f>
        <v>#N/A</v>
      </c>
      <c r="AS220" s="3" t="e">
        <f>VLOOKUP($AL220,Table1[],8,FALSE)</f>
        <v>#N/A</v>
      </c>
    </row>
    <row r="221" spans="1:45" x14ac:dyDescent="0.35">
      <c r="A221" s="2" t="s">
        <v>665</v>
      </c>
      <c r="B221" s="3">
        <v>30000000</v>
      </c>
      <c r="C221" s="3">
        <v>0</v>
      </c>
      <c r="D221" s="3">
        <v>0</v>
      </c>
      <c r="E221" s="3">
        <v>0</v>
      </c>
      <c r="F221" s="3">
        <v>30000000</v>
      </c>
      <c r="G221" s="3">
        <v>30000000</v>
      </c>
      <c r="H221" s="3">
        <v>0</v>
      </c>
      <c r="I221" s="3">
        <v>0</v>
      </c>
      <c r="J221" s="3">
        <v>0</v>
      </c>
      <c r="K221" s="3">
        <v>30000000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30000000</v>
      </c>
      <c r="AG221" s="3">
        <v>0</v>
      </c>
      <c r="AH221" s="3">
        <v>0</v>
      </c>
      <c r="AI221" s="3">
        <v>0</v>
      </c>
      <c r="AJ221" s="3">
        <v>30000000</v>
      </c>
      <c r="AK221" s="2" t="s">
        <v>666</v>
      </c>
      <c r="AL221" s="2" t="s">
        <v>667</v>
      </c>
      <c r="AM221" s="3" t="e">
        <f>VLOOKUP(AL221,Table1[],2,FALSE)</f>
        <v>#N/A</v>
      </c>
      <c r="AN221" s="3" t="e">
        <f>VLOOKUP(AL221,Table1[],3,FALSE)</f>
        <v>#N/A</v>
      </c>
      <c r="AO221" s="3" t="e">
        <f>VLOOKUP($AL221,Table1[],4,FALSE)</f>
        <v>#N/A</v>
      </c>
      <c r="AP221" s="3" t="e">
        <f>VLOOKUP($AL221,Table1[],5,FALSE)</f>
        <v>#N/A</v>
      </c>
      <c r="AQ221" s="3" t="e">
        <f>VLOOKUP($AL221,Table1[],6,FALSE)</f>
        <v>#N/A</v>
      </c>
      <c r="AR221" s="3" t="e">
        <f>VLOOKUP($AL221,Table1[],7,FALSE)</f>
        <v>#N/A</v>
      </c>
      <c r="AS221" s="3" t="e">
        <f>VLOOKUP($AL221,Table1[],8,FALSE)</f>
        <v>#N/A</v>
      </c>
    </row>
    <row r="222" spans="1:45" x14ac:dyDescent="0.35">
      <c r="A222" s="2" t="s">
        <v>668</v>
      </c>
      <c r="B222" s="3">
        <v>19785000</v>
      </c>
      <c r="C222" s="3">
        <v>427713.86</v>
      </c>
      <c r="D222" s="3">
        <v>123600</v>
      </c>
      <c r="E222" s="3">
        <v>551313.86</v>
      </c>
      <c r="F222" s="3">
        <v>19233686.140000001</v>
      </c>
      <c r="G222" s="3">
        <v>19785000</v>
      </c>
      <c r="H222" s="3">
        <v>427713.86</v>
      </c>
      <c r="I222" s="3">
        <v>123600</v>
      </c>
      <c r="J222" s="3">
        <v>551313.86</v>
      </c>
      <c r="K222" s="3">
        <v>19233686.140000001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19785000</v>
      </c>
      <c r="AG222" s="3">
        <v>427713.86</v>
      </c>
      <c r="AH222" s="3">
        <v>123600</v>
      </c>
      <c r="AI222" s="3">
        <v>551313.86</v>
      </c>
      <c r="AJ222" s="3">
        <v>19233686.140000001</v>
      </c>
      <c r="AK222" s="2" t="s">
        <v>669</v>
      </c>
      <c r="AL222" s="2" t="s">
        <v>670</v>
      </c>
      <c r="AM222" s="3">
        <f>VLOOKUP(AL222,Table1[],2,FALSE)</f>
        <v>0</v>
      </c>
      <c r="AN222" s="3">
        <f>VLOOKUP(AL222,Table1[],3,FALSE)</f>
        <v>0</v>
      </c>
      <c r="AO222" s="3">
        <f>VLOOKUP($AL222,Table1[],4,FALSE)</f>
        <v>0</v>
      </c>
      <c r="AP222" s="3">
        <f>VLOOKUP($AL222,Table1[],5,FALSE)</f>
        <v>0</v>
      </c>
      <c r="AQ222" s="3">
        <f>VLOOKUP($AL222,Table1[],6,FALSE)</f>
        <v>0</v>
      </c>
      <c r="AR222" s="3">
        <f>VLOOKUP($AL222,Table1[],7,FALSE)</f>
        <v>0</v>
      </c>
      <c r="AS222" s="3">
        <f>VLOOKUP($AL222,Table1[],8,FALSE)</f>
        <v>0</v>
      </c>
    </row>
    <row r="223" spans="1:45" x14ac:dyDescent="0.35">
      <c r="A223" s="2" t="s">
        <v>671</v>
      </c>
      <c r="B223" s="3">
        <v>1000000</v>
      </c>
      <c r="C223" s="3">
        <v>300000</v>
      </c>
      <c r="D223" s="3">
        <v>700000</v>
      </c>
      <c r="E223" s="3">
        <v>1000000</v>
      </c>
      <c r="F223" s="3">
        <v>0</v>
      </c>
      <c r="G223" s="3">
        <v>1000000</v>
      </c>
      <c r="H223" s="3">
        <v>300000</v>
      </c>
      <c r="I223" s="3">
        <v>700000</v>
      </c>
      <c r="J223" s="3">
        <v>1000000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1000000</v>
      </c>
      <c r="AG223" s="3">
        <v>300000</v>
      </c>
      <c r="AH223" s="3">
        <v>700000</v>
      </c>
      <c r="AI223" s="3">
        <v>1000000</v>
      </c>
      <c r="AJ223" s="3">
        <v>0</v>
      </c>
      <c r="AK223" s="2" t="s">
        <v>672</v>
      </c>
      <c r="AL223" s="2" t="s">
        <v>673</v>
      </c>
      <c r="AM223" s="3">
        <f>VLOOKUP(AL223,Table1[],2,FALSE)</f>
        <v>0</v>
      </c>
      <c r="AN223" s="3">
        <f>VLOOKUP(AL223,Table1[],3,FALSE)</f>
        <v>0</v>
      </c>
      <c r="AO223" s="3">
        <f>VLOOKUP($AL223,Table1[],4,FALSE)</f>
        <v>0</v>
      </c>
      <c r="AP223" s="3">
        <f>VLOOKUP($AL223,Table1[],5,FALSE)</f>
        <v>0</v>
      </c>
      <c r="AQ223" s="3">
        <f>VLOOKUP($AL223,Table1[],6,FALSE)</f>
        <v>0</v>
      </c>
      <c r="AR223" s="3">
        <f>VLOOKUP($AL223,Table1[],7,FALSE)</f>
        <v>0</v>
      </c>
      <c r="AS223" s="3">
        <f>VLOOKUP($AL223,Table1[],8,FALSE)</f>
        <v>0</v>
      </c>
    </row>
    <row r="224" spans="1:45" x14ac:dyDescent="0.35">
      <c r="A224" s="2" t="s">
        <v>674</v>
      </c>
      <c r="B224" s="3">
        <v>200000</v>
      </c>
      <c r="C224" s="3">
        <v>200000</v>
      </c>
      <c r="D224" s="3">
        <v>0</v>
      </c>
      <c r="E224" s="3">
        <v>200000</v>
      </c>
      <c r="F224" s="3">
        <v>0</v>
      </c>
      <c r="G224" s="3">
        <v>200000</v>
      </c>
      <c r="H224" s="3">
        <v>200000</v>
      </c>
      <c r="I224" s="3">
        <v>0</v>
      </c>
      <c r="J224" s="3">
        <v>200000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200000</v>
      </c>
      <c r="AG224" s="3">
        <v>200000</v>
      </c>
      <c r="AH224" s="3">
        <v>0</v>
      </c>
      <c r="AI224" s="3">
        <v>200000</v>
      </c>
      <c r="AJ224" s="3">
        <v>0</v>
      </c>
      <c r="AK224" s="2" t="s">
        <v>675</v>
      </c>
      <c r="AL224" s="2" t="s">
        <v>676</v>
      </c>
      <c r="AM224" s="3">
        <f>VLOOKUP(AL224,Table1[],2,FALSE)</f>
        <v>0</v>
      </c>
      <c r="AN224" s="3">
        <f>VLOOKUP(AL224,Table1[],3,FALSE)</f>
        <v>0</v>
      </c>
      <c r="AO224" s="3">
        <f>VLOOKUP($AL224,Table1[],4,FALSE)</f>
        <v>0</v>
      </c>
      <c r="AP224" s="3">
        <f>VLOOKUP($AL224,Table1[],5,FALSE)</f>
        <v>0</v>
      </c>
      <c r="AQ224" s="3">
        <f>VLOOKUP($AL224,Table1[],6,FALSE)</f>
        <v>0</v>
      </c>
      <c r="AR224" s="3">
        <f>VLOOKUP($AL224,Table1[],7,FALSE)</f>
        <v>0</v>
      </c>
      <c r="AS224" s="3">
        <f>VLOOKUP($AL224,Table1[],8,FALSE)</f>
        <v>0</v>
      </c>
    </row>
    <row r="225" spans="1:45" x14ac:dyDescent="0.35">
      <c r="A225" s="2" t="s">
        <v>677</v>
      </c>
      <c r="B225" s="3">
        <v>25000000</v>
      </c>
      <c r="C225" s="3">
        <v>0</v>
      </c>
      <c r="D225" s="3">
        <v>0</v>
      </c>
      <c r="E225" s="3">
        <v>0</v>
      </c>
      <c r="F225" s="3">
        <v>25000000</v>
      </c>
      <c r="G225" s="3">
        <v>25000000</v>
      </c>
      <c r="H225" s="3">
        <v>0</v>
      </c>
      <c r="I225" s="3">
        <v>0</v>
      </c>
      <c r="J225" s="3">
        <v>0</v>
      </c>
      <c r="K225" s="3">
        <v>25000000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25000000</v>
      </c>
      <c r="AG225" s="3">
        <v>0</v>
      </c>
      <c r="AH225" s="3">
        <v>0</v>
      </c>
      <c r="AI225" s="3">
        <v>0</v>
      </c>
      <c r="AJ225" s="3">
        <v>25000000</v>
      </c>
      <c r="AK225" s="2" t="s">
        <v>678</v>
      </c>
      <c r="AL225" s="2" t="s">
        <v>679</v>
      </c>
      <c r="AM225" s="3" t="e">
        <f>VLOOKUP(AL225,Table1[],2,FALSE)</f>
        <v>#N/A</v>
      </c>
      <c r="AN225" s="3" t="e">
        <f>VLOOKUP(AL225,Table1[],3,FALSE)</f>
        <v>#N/A</v>
      </c>
      <c r="AO225" s="3" t="e">
        <f>VLOOKUP($AL225,Table1[],4,FALSE)</f>
        <v>#N/A</v>
      </c>
      <c r="AP225" s="3" t="e">
        <f>VLOOKUP($AL225,Table1[],5,FALSE)</f>
        <v>#N/A</v>
      </c>
      <c r="AQ225" s="3" t="e">
        <f>VLOOKUP($AL225,Table1[],6,FALSE)</f>
        <v>#N/A</v>
      </c>
      <c r="AR225" s="3" t="e">
        <f>VLOOKUP($AL225,Table1[],7,FALSE)</f>
        <v>#N/A</v>
      </c>
      <c r="AS225" s="3" t="e">
        <f>VLOOKUP($AL225,Table1[],8,FALSE)</f>
        <v>#N/A</v>
      </c>
    </row>
    <row r="226" spans="1:45" x14ac:dyDescent="0.35">
      <c r="A226" s="2" t="s">
        <v>680</v>
      </c>
      <c r="B226" s="3">
        <v>5000000</v>
      </c>
      <c r="C226" s="3">
        <v>4339132.76</v>
      </c>
      <c r="D226" s="3">
        <v>565935.99</v>
      </c>
      <c r="E226" s="3">
        <v>4905068.75</v>
      </c>
      <c r="F226" s="3">
        <v>94931.25</v>
      </c>
      <c r="G226" s="3">
        <v>5000000</v>
      </c>
      <c r="H226" s="3">
        <v>4339132.76</v>
      </c>
      <c r="I226" s="3">
        <v>565935.99</v>
      </c>
      <c r="J226" s="3">
        <v>4905068.75</v>
      </c>
      <c r="K226" s="3">
        <v>94931.25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5000000</v>
      </c>
      <c r="AG226" s="3">
        <v>4339132.76</v>
      </c>
      <c r="AH226" s="3">
        <v>565935.99</v>
      </c>
      <c r="AI226" s="3">
        <v>4905068.75</v>
      </c>
      <c r="AJ226" s="3">
        <v>94931.25</v>
      </c>
      <c r="AK226" s="2" t="s">
        <v>681</v>
      </c>
      <c r="AL226" s="2" t="s">
        <v>682</v>
      </c>
      <c r="AM226" s="3">
        <f>VLOOKUP(AL226,Table1[],2,FALSE)</f>
        <v>0</v>
      </c>
      <c r="AN226" s="3">
        <f>VLOOKUP(AL226,Table1[],3,FALSE)</f>
        <v>0</v>
      </c>
      <c r="AO226" s="3">
        <f>VLOOKUP($AL226,Table1[],4,FALSE)</f>
        <v>0</v>
      </c>
      <c r="AP226" s="3">
        <f>VLOOKUP($AL226,Table1[],5,FALSE)</f>
        <v>0</v>
      </c>
      <c r="AQ226" s="3">
        <f>VLOOKUP($AL226,Table1[],6,FALSE)</f>
        <v>0</v>
      </c>
      <c r="AR226" s="3">
        <f>VLOOKUP($AL226,Table1[],7,FALSE)</f>
        <v>0</v>
      </c>
      <c r="AS226" s="3">
        <f>VLOOKUP($AL226,Table1[],8,FALSE)</f>
        <v>0</v>
      </c>
    </row>
    <row r="227" spans="1:45" x14ac:dyDescent="0.35">
      <c r="A227" s="2" t="s">
        <v>683</v>
      </c>
      <c r="B227" s="3">
        <v>10000000</v>
      </c>
      <c r="C227" s="3">
        <v>0</v>
      </c>
      <c r="D227" s="3">
        <v>0</v>
      </c>
      <c r="E227" s="3">
        <v>0</v>
      </c>
      <c r="F227" s="3">
        <v>10000000</v>
      </c>
      <c r="G227" s="3">
        <v>10000000</v>
      </c>
      <c r="H227" s="3">
        <v>0</v>
      </c>
      <c r="I227" s="3">
        <v>0</v>
      </c>
      <c r="J227" s="3">
        <v>0</v>
      </c>
      <c r="K227" s="3">
        <v>10000000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10000000</v>
      </c>
      <c r="AG227" s="3">
        <v>0</v>
      </c>
      <c r="AH227" s="3">
        <v>0</v>
      </c>
      <c r="AI227" s="3">
        <v>0</v>
      </c>
      <c r="AJ227" s="3">
        <v>10000000</v>
      </c>
      <c r="AK227" s="2" t="s">
        <v>684</v>
      </c>
      <c r="AL227" s="2" t="s">
        <v>685</v>
      </c>
      <c r="AM227" s="3" t="e">
        <f>VLOOKUP(AL227,Table1[],2,FALSE)</f>
        <v>#N/A</v>
      </c>
      <c r="AN227" s="3" t="e">
        <f>VLOOKUP(AL227,Table1[],3,FALSE)</f>
        <v>#N/A</v>
      </c>
      <c r="AO227" s="3" t="e">
        <f>VLOOKUP($AL227,Table1[],4,FALSE)</f>
        <v>#N/A</v>
      </c>
      <c r="AP227" s="3" t="e">
        <f>VLOOKUP($AL227,Table1[],5,FALSE)</f>
        <v>#N/A</v>
      </c>
      <c r="AQ227" s="3" t="e">
        <f>VLOOKUP($AL227,Table1[],6,FALSE)</f>
        <v>#N/A</v>
      </c>
      <c r="AR227" s="3" t="e">
        <f>VLOOKUP($AL227,Table1[],7,FALSE)</f>
        <v>#N/A</v>
      </c>
      <c r="AS227" s="3" t="e">
        <f>VLOOKUP($AL227,Table1[],8,FALSE)</f>
        <v>#N/A</v>
      </c>
    </row>
    <row r="228" spans="1:45" x14ac:dyDescent="0.35">
      <c r="A228" s="2" t="s">
        <v>686</v>
      </c>
      <c r="B228" s="3">
        <v>1000000</v>
      </c>
      <c r="C228" s="3">
        <v>948860.72</v>
      </c>
      <c r="D228" s="3">
        <v>0</v>
      </c>
      <c r="E228" s="3">
        <v>948860.72</v>
      </c>
      <c r="F228" s="3">
        <v>51139.28</v>
      </c>
      <c r="G228" s="3">
        <v>1000000</v>
      </c>
      <c r="H228" s="3">
        <v>948860.72</v>
      </c>
      <c r="I228" s="3">
        <v>0</v>
      </c>
      <c r="J228" s="3">
        <v>948860.72</v>
      </c>
      <c r="K228" s="3">
        <v>51139.28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1000000</v>
      </c>
      <c r="AG228" s="3">
        <v>948860.72</v>
      </c>
      <c r="AH228" s="3">
        <v>0</v>
      </c>
      <c r="AI228" s="3">
        <v>948860.72</v>
      </c>
      <c r="AJ228" s="3">
        <v>51139.28</v>
      </c>
      <c r="AK228" s="2" t="s">
        <v>687</v>
      </c>
      <c r="AL228" s="2" t="s">
        <v>688</v>
      </c>
      <c r="AM228" s="3">
        <f>VLOOKUP(AL228,Table1[],2,FALSE)</f>
        <v>0</v>
      </c>
      <c r="AN228" s="3">
        <f>VLOOKUP(AL228,Table1[],3,FALSE)</f>
        <v>0</v>
      </c>
      <c r="AO228" s="3">
        <f>VLOOKUP($AL228,Table1[],4,FALSE)</f>
        <v>0</v>
      </c>
      <c r="AP228" s="3">
        <f>VLOOKUP($AL228,Table1[],5,FALSE)</f>
        <v>0</v>
      </c>
      <c r="AQ228" s="3">
        <f>VLOOKUP($AL228,Table1[],6,FALSE)</f>
        <v>0</v>
      </c>
      <c r="AR228" s="3">
        <f>VLOOKUP($AL228,Table1[],7,FALSE)</f>
        <v>0</v>
      </c>
      <c r="AS228" s="3">
        <f>VLOOKUP($AL228,Table1[],8,FALSE)</f>
        <v>0</v>
      </c>
    </row>
    <row r="229" spans="1:45" x14ac:dyDescent="0.35">
      <c r="A229" s="2" t="s">
        <v>689</v>
      </c>
      <c r="B229" s="3">
        <v>3871000</v>
      </c>
      <c r="C229" s="3">
        <v>0</v>
      </c>
      <c r="D229" s="3">
        <v>0</v>
      </c>
      <c r="E229" s="3">
        <v>0</v>
      </c>
      <c r="F229" s="3">
        <v>3871000</v>
      </c>
      <c r="G229" s="3">
        <v>3871000</v>
      </c>
      <c r="H229" s="3">
        <v>0</v>
      </c>
      <c r="I229" s="3">
        <v>0</v>
      </c>
      <c r="J229" s="3">
        <v>0</v>
      </c>
      <c r="K229" s="3">
        <v>3871000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3871000</v>
      </c>
      <c r="AG229" s="3">
        <v>0</v>
      </c>
      <c r="AH229" s="3">
        <v>0</v>
      </c>
      <c r="AI229" s="3">
        <v>0</v>
      </c>
      <c r="AJ229" s="3">
        <v>3871000</v>
      </c>
      <c r="AK229" s="2" t="s">
        <v>690</v>
      </c>
      <c r="AL229" s="2" t="s">
        <v>691</v>
      </c>
      <c r="AM229" s="3" t="e">
        <f>VLOOKUP(AL229,Table1[],2,FALSE)</f>
        <v>#N/A</v>
      </c>
      <c r="AN229" s="3" t="e">
        <f>VLOOKUP(AL229,Table1[],3,FALSE)</f>
        <v>#N/A</v>
      </c>
      <c r="AO229" s="3" t="e">
        <f>VLOOKUP($AL229,Table1[],4,FALSE)</f>
        <v>#N/A</v>
      </c>
      <c r="AP229" s="3" t="e">
        <f>VLOOKUP($AL229,Table1[],5,FALSE)</f>
        <v>#N/A</v>
      </c>
      <c r="AQ229" s="3" t="e">
        <f>VLOOKUP($AL229,Table1[],6,FALSE)</f>
        <v>#N/A</v>
      </c>
      <c r="AR229" s="3" t="e">
        <f>VLOOKUP($AL229,Table1[],7,FALSE)</f>
        <v>#N/A</v>
      </c>
      <c r="AS229" s="3" t="e">
        <f>VLOOKUP($AL229,Table1[],8,FALSE)</f>
        <v>#N/A</v>
      </c>
    </row>
    <row r="230" spans="1:45" x14ac:dyDescent="0.35">
      <c r="A230" s="2" t="s">
        <v>692</v>
      </c>
      <c r="B230" s="3">
        <v>2000000</v>
      </c>
      <c r="C230" s="3">
        <v>1904774.72</v>
      </c>
      <c r="D230" s="3">
        <v>50571.7</v>
      </c>
      <c r="E230" s="3">
        <v>1955346.42</v>
      </c>
      <c r="F230" s="3">
        <v>44653.58</v>
      </c>
      <c r="G230" s="3">
        <v>2000000</v>
      </c>
      <c r="H230" s="3">
        <v>1904774.72</v>
      </c>
      <c r="I230" s="3">
        <v>50571.7</v>
      </c>
      <c r="J230" s="3">
        <v>1955346.42</v>
      </c>
      <c r="K230" s="3">
        <v>44653.58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2000000</v>
      </c>
      <c r="AG230" s="3">
        <v>1904774.72</v>
      </c>
      <c r="AH230" s="3">
        <v>50571.7</v>
      </c>
      <c r="AI230" s="3">
        <v>1955346.42</v>
      </c>
      <c r="AJ230" s="3">
        <v>44653.58</v>
      </c>
      <c r="AK230" s="2" t="s">
        <v>693</v>
      </c>
      <c r="AL230" s="2" t="s">
        <v>694</v>
      </c>
      <c r="AM230" s="3">
        <f>VLOOKUP(AL230,Table1[],2,FALSE)</f>
        <v>0</v>
      </c>
      <c r="AN230" s="3">
        <f>VLOOKUP(AL230,Table1[],3,FALSE)</f>
        <v>0</v>
      </c>
      <c r="AO230" s="3">
        <f>VLOOKUP($AL230,Table1[],4,FALSE)</f>
        <v>0</v>
      </c>
      <c r="AP230" s="3">
        <f>VLOOKUP($AL230,Table1[],5,FALSE)</f>
        <v>0</v>
      </c>
      <c r="AQ230" s="3">
        <f>VLOOKUP($AL230,Table1[],6,FALSE)</f>
        <v>0</v>
      </c>
      <c r="AR230" s="3">
        <f>VLOOKUP($AL230,Table1[],7,FALSE)</f>
        <v>0</v>
      </c>
      <c r="AS230" s="3">
        <f>VLOOKUP($AL230,Table1[],8,FALSE)</f>
        <v>0</v>
      </c>
    </row>
    <row r="231" spans="1:45" x14ac:dyDescent="0.35">
      <c r="A231" s="2" t="s">
        <v>695</v>
      </c>
      <c r="B231" s="3">
        <v>6000000</v>
      </c>
      <c r="C231" s="3">
        <v>0</v>
      </c>
      <c r="D231" s="3">
        <v>0</v>
      </c>
      <c r="E231" s="3">
        <v>0</v>
      </c>
      <c r="F231" s="3">
        <v>6000000</v>
      </c>
      <c r="G231" s="3">
        <v>6000000</v>
      </c>
      <c r="H231" s="3">
        <v>0</v>
      </c>
      <c r="I231" s="3">
        <v>0</v>
      </c>
      <c r="J231" s="3">
        <v>0</v>
      </c>
      <c r="K231" s="3">
        <v>6000000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6000000</v>
      </c>
      <c r="AG231" s="3">
        <v>0</v>
      </c>
      <c r="AH231" s="3">
        <v>0</v>
      </c>
      <c r="AI231" s="3">
        <v>0</v>
      </c>
      <c r="AJ231" s="3">
        <v>6000000</v>
      </c>
      <c r="AK231" s="2" t="s">
        <v>696</v>
      </c>
      <c r="AL231" s="2" t="s">
        <v>697</v>
      </c>
      <c r="AM231" s="3" t="e">
        <f>VLOOKUP(AL231,Table1[],2,FALSE)</f>
        <v>#N/A</v>
      </c>
      <c r="AN231" s="3" t="e">
        <f>VLOOKUP(AL231,Table1[],3,FALSE)</f>
        <v>#N/A</v>
      </c>
      <c r="AO231" s="3" t="e">
        <f>VLOOKUP($AL231,Table1[],4,FALSE)</f>
        <v>#N/A</v>
      </c>
      <c r="AP231" s="3" t="e">
        <f>VLOOKUP($AL231,Table1[],5,FALSE)</f>
        <v>#N/A</v>
      </c>
      <c r="AQ231" s="3" t="e">
        <f>VLOOKUP($AL231,Table1[],6,FALSE)</f>
        <v>#N/A</v>
      </c>
      <c r="AR231" s="3" t="e">
        <f>VLOOKUP($AL231,Table1[],7,FALSE)</f>
        <v>#N/A</v>
      </c>
      <c r="AS231" s="3" t="e">
        <f>VLOOKUP($AL231,Table1[],8,FALSE)</f>
        <v>#N/A</v>
      </c>
    </row>
    <row r="232" spans="1:45" x14ac:dyDescent="0.35">
      <c r="A232" s="2" t="s">
        <v>698</v>
      </c>
      <c r="B232" s="3">
        <v>4000000</v>
      </c>
      <c r="C232" s="3">
        <v>0</v>
      </c>
      <c r="D232" s="3">
        <v>858422.71</v>
      </c>
      <c r="E232" s="3">
        <v>858422.71</v>
      </c>
      <c r="F232" s="3">
        <v>3141577.29</v>
      </c>
      <c r="G232" s="3">
        <v>4000000</v>
      </c>
      <c r="H232" s="3">
        <v>0</v>
      </c>
      <c r="I232" s="3">
        <v>858422.71</v>
      </c>
      <c r="J232" s="3">
        <v>858422.71</v>
      </c>
      <c r="K232" s="3">
        <v>3141577.29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4000000</v>
      </c>
      <c r="AG232" s="3">
        <v>0</v>
      </c>
      <c r="AH232" s="3">
        <v>858422.71</v>
      </c>
      <c r="AI232" s="3">
        <v>858422.71</v>
      </c>
      <c r="AJ232" s="3">
        <v>3141577.29</v>
      </c>
      <c r="AK232" s="2" t="s">
        <v>699</v>
      </c>
      <c r="AL232" s="2" t="s">
        <v>700</v>
      </c>
      <c r="AM232" s="3">
        <f>VLOOKUP(AL232,Table1[],2,FALSE)</f>
        <v>0</v>
      </c>
      <c r="AN232" s="3">
        <f>VLOOKUP(AL232,Table1[],3,FALSE)</f>
        <v>0</v>
      </c>
      <c r="AO232" s="3">
        <f>VLOOKUP($AL232,Table1[],4,FALSE)</f>
        <v>0</v>
      </c>
      <c r="AP232" s="3">
        <f>VLOOKUP($AL232,Table1[],5,FALSE)</f>
        <v>0</v>
      </c>
      <c r="AQ232" s="3">
        <f>VLOOKUP($AL232,Table1[],6,FALSE)</f>
        <v>0</v>
      </c>
      <c r="AR232" s="3">
        <f>VLOOKUP($AL232,Table1[],7,FALSE)</f>
        <v>0</v>
      </c>
      <c r="AS232" s="3">
        <f>VLOOKUP($AL232,Table1[],8,FALSE)</f>
        <v>0</v>
      </c>
    </row>
    <row r="233" spans="1:45" x14ac:dyDescent="0.35">
      <c r="A233" s="2" t="s">
        <v>701</v>
      </c>
      <c r="B233" s="3">
        <v>6000000</v>
      </c>
      <c r="C233" s="3">
        <v>0</v>
      </c>
      <c r="D233" s="3">
        <v>0</v>
      </c>
      <c r="E233" s="3">
        <v>0</v>
      </c>
      <c r="F233" s="3">
        <v>6000000</v>
      </c>
      <c r="G233" s="3">
        <v>6000000</v>
      </c>
      <c r="H233" s="3">
        <v>0</v>
      </c>
      <c r="I233" s="3">
        <v>0</v>
      </c>
      <c r="J233" s="3">
        <v>0</v>
      </c>
      <c r="K233" s="3">
        <v>6000000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6000000</v>
      </c>
      <c r="AG233" s="3">
        <v>0</v>
      </c>
      <c r="AH233" s="3">
        <v>0</v>
      </c>
      <c r="AI233" s="3">
        <v>0</v>
      </c>
      <c r="AJ233" s="3">
        <v>6000000</v>
      </c>
      <c r="AK233" s="2" t="s">
        <v>702</v>
      </c>
      <c r="AL233" s="2" t="s">
        <v>703</v>
      </c>
      <c r="AM233" s="3" t="e">
        <f>VLOOKUP(AL233,Table1[],2,FALSE)</f>
        <v>#N/A</v>
      </c>
      <c r="AN233" s="3" t="e">
        <f>VLOOKUP(AL233,Table1[],3,FALSE)</f>
        <v>#N/A</v>
      </c>
      <c r="AO233" s="3" t="e">
        <f>VLOOKUP($AL233,Table1[],4,FALSE)</f>
        <v>#N/A</v>
      </c>
      <c r="AP233" s="3" t="e">
        <f>VLOOKUP($AL233,Table1[],5,FALSE)</f>
        <v>#N/A</v>
      </c>
      <c r="AQ233" s="3" t="e">
        <f>VLOOKUP($AL233,Table1[],6,FALSE)</f>
        <v>#N/A</v>
      </c>
      <c r="AR233" s="3" t="e">
        <f>VLOOKUP($AL233,Table1[],7,FALSE)</f>
        <v>#N/A</v>
      </c>
      <c r="AS233" s="3" t="e">
        <f>VLOOKUP($AL233,Table1[],8,FALSE)</f>
        <v>#N/A</v>
      </c>
    </row>
    <row r="234" spans="1:45" x14ac:dyDescent="0.35">
      <c r="A234" s="2" t="s">
        <v>704</v>
      </c>
      <c r="B234" s="3">
        <v>4000000</v>
      </c>
      <c r="C234" s="3">
        <v>0</v>
      </c>
      <c r="D234" s="3">
        <v>0</v>
      </c>
      <c r="E234" s="3">
        <v>0</v>
      </c>
      <c r="F234" s="3">
        <v>4000000</v>
      </c>
      <c r="G234" s="3">
        <v>4000000</v>
      </c>
      <c r="H234" s="3">
        <v>0</v>
      </c>
      <c r="I234" s="3">
        <v>0</v>
      </c>
      <c r="J234" s="3">
        <v>0</v>
      </c>
      <c r="K234" s="3">
        <v>4000000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4000000</v>
      </c>
      <c r="AG234" s="3">
        <v>0</v>
      </c>
      <c r="AH234" s="3">
        <v>0</v>
      </c>
      <c r="AI234" s="3">
        <v>0</v>
      </c>
      <c r="AJ234" s="3">
        <v>4000000</v>
      </c>
      <c r="AK234" s="2" t="s">
        <v>705</v>
      </c>
      <c r="AL234" s="2" t="s">
        <v>706</v>
      </c>
      <c r="AM234" s="3" t="e">
        <f>VLOOKUP(AL234,Table1[],2,FALSE)</f>
        <v>#N/A</v>
      </c>
      <c r="AN234" s="3" t="e">
        <f>VLOOKUP(AL234,Table1[],3,FALSE)</f>
        <v>#N/A</v>
      </c>
      <c r="AO234" s="3" t="e">
        <f>VLOOKUP($AL234,Table1[],4,FALSE)</f>
        <v>#N/A</v>
      </c>
      <c r="AP234" s="3" t="e">
        <f>VLOOKUP($AL234,Table1[],5,FALSE)</f>
        <v>#N/A</v>
      </c>
      <c r="AQ234" s="3" t="e">
        <f>VLOOKUP($AL234,Table1[],6,FALSE)</f>
        <v>#N/A</v>
      </c>
      <c r="AR234" s="3" t="e">
        <f>VLOOKUP($AL234,Table1[],7,FALSE)</f>
        <v>#N/A</v>
      </c>
      <c r="AS234" s="3" t="e">
        <f>VLOOKUP($AL234,Table1[],8,FALSE)</f>
        <v>#N/A</v>
      </c>
    </row>
    <row r="235" spans="1:45" x14ac:dyDescent="0.35">
      <c r="A235" s="2" t="s">
        <v>707</v>
      </c>
      <c r="B235" s="3">
        <v>20000000</v>
      </c>
      <c r="C235" s="3">
        <v>18317185.27</v>
      </c>
      <c r="D235" s="3">
        <v>1610929.13</v>
      </c>
      <c r="E235" s="3">
        <v>19928114.399999999</v>
      </c>
      <c r="F235" s="3">
        <v>71885.600000000006</v>
      </c>
      <c r="G235" s="3">
        <v>20000000</v>
      </c>
      <c r="H235" s="3">
        <v>18317185.27</v>
      </c>
      <c r="I235" s="3">
        <v>1610929.13</v>
      </c>
      <c r="J235" s="3">
        <v>19928114.399999999</v>
      </c>
      <c r="K235" s="3">
        <v>71885.600000000006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20000000</v>
      </c>
      <c r="AG235" s="3">
        <v>18317185.27</v>
      </c>
      <c r="AH235" s="3">
        <v>1610929.13</v>
      </c>
      <c r="AI235" s="3">
        <v>19928114.399999999</v>
      </c>
      <c r="AJ235" s="3">
        <v>71885.600000000006</v>
      </c>
      <c r="AK235" s="2" t="s">
        <v>708</v>
      </c>
      <c r="AL235" s="2" t="s">
        <v>709</v>
      </c>
      <c r="AM235" s="3">
        <f>VLOOKUP(AL235,Table1[],2,FALSE)</f>
        <v>0</v>
      </c>
      <c r="AN235" s="3">
        <f>VLOOKUP(AL235,Table1[],3,FALSE)</f>
        <v>0</v>
      </c>
      <c r="AO235" s="3">
        <f>VLOOKUP($AL235,Table1[],4,FALSE)</f>
        <v>0</v>
      </c>
      <c r="AP235" s="3">
        <f>VLOOKUP($AL235,Table1[],5,FALSE)</f>
        <v>0</v>
      </c>
      <c r="AQ235" s="3">
        <f>VLOOKUP($AL235,Table1[],6,FALSE)</f>
        <v>0</v>
      </c>
      <c r="AR235" s="3">
        <f>VLOOKUP($AL235,Table1[],7,FALSE)</f>
        <v>0</v>
      </c>
      <c r="AS235" s="3">
        <f>VLOOKUP($AL235,Table1[],8,FALSE)</f>
        <v>0</v>
      </c>
    </row>
    <row r="236" spans="1:45" x14ac:dyDescent="0.35">
      <c r="A236" s="2" t="s">
        <v>710</v>
      </c>
      <c r="B236" s="3">
        <v>20000000</v>
      </c>
      <c r="C236" s="3">
        <v>392294.84</v>
      </c>
      <c r="D236" s="3">
        <v>12549241.66</v>
      </c>
      <c r="E236" s="3">
        <v>12941536.5</v>
      </c>
      <c r="F236" s="3">
        <v>7058463.5</v>
      </c>
      <c r="G236" s="3">
        <v>20000000</v>
      </c>
      <c r="H236" s="3">
        <v>392294.84</v>
      </c>
      <c r="I236" s="3">
        <v>12549241.66</v>
      </c>
      <c r="J236" s="3">
        <v>12941536.5</v>
      </c>
      <c r="K236" s="3">
        <v>7058463.5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20000000</v>
      </c>
      <c r="AG236" s="3">
        <v>392294.84</v>
      </c>
      <c r="AH236" s="3">
        <v>12549241.66</v>
      </c>
      <c r="AI236" s="3">
        <v>12941536.5</v>
      </c>
      <c r="AJ236" s="3">
        <v>7058463.5</v>
      </c>
      <c r="AK236" s="2" t="s">
        <v>711</v>
      </c>
      <c r="AL236" s="2" t="s">
        <v>712</v>
      </c>
      <c r="AM236" s="3">
        <f>VLOOKUP(AL236,Table1[],2,FALSE)</f>
        <v>0</v>
      </c>
      <c r="AN236" s="3">
        <f>VLOOKUP(AL236,Table1[],3,FALSE)</f>
        <v>0</v>
      </c>
      <c r="AO236" s="3">
        <f>VLOOKUP($AL236,Table1[],4,FALSE)</f>
        <v>0</v>
      </c>
      <c r="AP236" s="3">
        <f>VLOOKUP($AL236,Table1[],5,FALSE)</f>
        <v>0</v>
      </c>
      <c r="AQ236" s="3">
        <f>VLOOKUP($AL236,Table1[],6,FALSE)</f>
        <v>0</v>
      </c>
      <c r="AR236" s="3">
        <f>VLOOKUP($AL236,Table1[],7,FALSE)</f>
        <v>0</v>
      </c>
      <c r="AS236" s="3">
        <f>VLOOKUP($AL236,Table1[],8,FALSE)</f>
        <v>0</v>
      </c>
    </row>
    <row r="237" spans="1:45" x14ac:dyDescent="0.35">
      <c r="A237" s="2" t="s">
        <v>713</v>
      </c>
      <c r="B237" s="3">
        <v>4000000</v>
      </c>
      <c r="C237" s="3">
        <v>0</v>
      </c>
      <c r="D237" s="3">
        <v>0</v>
      </c>
      <c r="E237" s="3">
        <v>0</v>
      </c>
      <c r="F237" s="3">
        <v>4000000</v>
      </c>
      <c r="G237" s="3">
        <v>4000000</v>
      </c>
      <c r="H237" s="3">
        <v>0</v>
      </c>
      <c r="I237" s="3">
        <v>0</v>
      </c>
      <c r="J237" s="3">
        <v>0</v>
      </c>
      <c r="K237" s="3">
        <v>4000000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4000000</v>
      </c>
      <c r="AG237" s="3">
        <v>0</v>
      </c>
      <c r="AH237" s="3">
        <v>0</v>
      </c>
      <c r="AI237" s="3">
        <v>0</v>
      </c>
      <c r="AJ237" s="3">
        <v>4000000</v>
      </c>
      <c r="AK237" s="2" t="s">
        <v>714</v>
      </c>
      <c r="AL237" s="2" t="s">
        <v>715</v>
      </c>
      <c r="AM237" s="3" t="e">
        <f>VLOOKUP(AL237,Table1[],2,FALSE)</f>
        <v>#N/A</v>
      </c>
      <c r="AN237" s="3" t="e">
        <f>VLOOKUP(AL237,Table1[],3,FALSE)</f>
        <v>#N/A</v>
      </c>
      <c r="AO237" s="3" t="e">
        <f>VLOOKUP($AL237,Table1[],4,FALSE)</f>
        <v>#N/A</v>
      </c>
      <c r="AP237" s="3" t="e">
        <f>VLOOKUP($AL237,Table1[],5,FALSE)</f>
        <v>#N/A</v>
      </c>
      <c r="AQ237" s="3" t="e">
        <f>VLOOKUP($AL237,Table1[],6,FALSE)</f>
        <v>#N/A</v>
      </c>
      <c r="AR237" s="3" t="e">
        <f>VLOOKUP($AL237,Table1[],7,FALSE)</f>
        <v>#N/A</v>
      </c>
      <c r="AS237" s="3" t="e">
        <f>VLOOKUP($AL237,Table1[],8,FALSE)</f>
        <v>#N/A</v>
      </c>
    </row>
    <row r="238" spans="1:45" x14ac:dyDescent="0.35">
      <c r="A238" s="2" t="s">
        <v>716</v>
      </c>
      <c r="B238" s="3">
        <v>20000000</v>
      </c>
      <c r="C238" s="3">
        <v>0</v>
      </c>
      <c r="D238" s="3">
        <v>0</v>
      </c>
      <c r="E238" s="3">
        <v>0</v>
      </c>
      <c r="F238" s="3">
        <v>20000000</v>
      </c>
      <c r="G238" s="3">
        <v>20000000</v>
      </c>
      <c r="H238" s="3">
        <v>0</v>
      </c>
      <c r="I238" s="3">
        <v>0</v>
      </c>
      <c r="J238" s="3">
        <v>0</v>
      </c>
      <c r="K238" s="3">
        <v>20000000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20000000</v>
      </c>
      <c r="AG238" s="3">
        <v>0</v>
      </c>
      <c r="AH238" s="3">
        <v>0</v>
      </c>
      <c r="AI238" s="3">
        <v>0</v>
      </c>
      <c r="AJ238" s="3">
        <v>20000000</v>
      </c>
      <c r="AK238" s="2" t="s">
        <v>717</v>
      </c>
      <c r="AL238" s="2" t="s">
        <v>718</v>
      </c>
      <c r="AM238" s="3" t="e">
        <f>VLOOKUP(AL238,Table1[],2,FALSE)</f>
        <v>#N/A</v>
      </c>
      <c r="AN238" s="3" t="e">
        <f>VLOOKUP(AL238,Table1[],3,FALSE)</f>
        <v>#N/A</v>
      </c>
      <c r="AO238" s="3" t="e">
        <f>VLOOKUP($AL238,Table1[],4,FALSE)</f>
        <v>#N/A</v>
      </c>
      <c r="AP238" s="3" t="e">
        <f>VLOOKUP($AL238,Table1[],5,FALSE)</f>
        <v>#N/A</v>
      </c>
      <c r="AQ238" s="3" t="e">
        <f>VLOOKUP($AL238,Table1[],6,FALSE)</f>
        <v>#N/A</v>
      </c>
      <c r="AR238" s="3" t="e">
        <f>VLOOKUP($AL238,Table1[],7,FALSE)</f>
        <v>#N/A</v>
      </c>
      <c r="AS238" s="3" t="e">
        <f>VLOOKUP($AL238,Table1[],8,FALSE)</f>
        <v>#N/A</v>
      </c>
    </row>
    <row r="239" spans="1:45" x14ac:dyDescent="0.35">
      <c r="A239" s="2" t="s">
        <v>719</v>
      </c>
      <c r="B239" s="3">
        <v>2500000</v>
      </c>
      <c r="C239" s="3">
        <v>0</v>
      </c>
      <c r="D239" s="3">
        <v>0</v>
      </c>
      <c r="E239" s="3">
        <v>0</v>
      </c>
      <c r="F239" s="3">
        <v>2500000</v>
      </c>
      <c r="G239" s="3">
        <v>2500000</v>
      </c>
      <c r="H239" s="3">
        <v>0</v>
      </c>
      <c r="I239" s="3">
        <v>0</v>
      </c>
      <c r="J239" s="3">
        <v>0</v>
      </c>
      <c r="K239" s="3">
        <v>2500000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2500000</v>
      </c>
      <c r="AG239" s="3">
        <v>0</v>
      </c>
      <c r="AH239" s="3">
        <v>0</v>
      </c>
      <c r="AI239" s="3">
        <v>0</v>
      </c>
      <c r="AJ239" s="3">
        <v>2500000</v>
      </c>
      <c r="AK239" s="2" t="s">
        <v>720</v>
      </c>
      <c r="AL239" s="2" t="s">
        <v>721</v>
      </c>
      <c r="AM239" s="3" t="e">
        <f>VLOOKUP(AL239,Table1[],2,FALSE)</f>
        <v>#N/A</v>
      </c>
      <c r="AN239" s="3" t="e">
        <f>VLOOKUP(AL239,Table1[],3,FALSE)</f>
        <v>#N/A</v>
      </c>
      <c r="AO239" s="3" t="e">
        <f>VLOOKUP($AL239,Table1[],4,FALSE)</f>
        <v>#N/A</v>
      </c>
      <c r="AP239" s="3" t="e">
        <f>VLOOKUP($AL239,Table1[],5,FALSE)</f>
        <v>#N/A</v>
      </c>
      <c r="AQ239" s="3" t="e">
        <f>VLOOKUP($AL239,Table1[],6,FALSE)</f>
        <v>#N/A</v>
      </c>
      <c r="AR239" s="3" t="e">
        <f>VLOOKUP($AL239,Table1[],7,FALSE)</f>
        <v>#N/A</v>
      </c>
      <c r="AS239" s="3" t="e">
        <f>VLOOKUP($AL239,Table1[],8,FALSE)</f>
        <v>#N/A</v>
      </c>
    </row>
    <row r="240" spans="1:45" x14ac:dyDescent="0.35">
      <c r="A240" s="2" t="s">
        <v>722</v>
      </c>
      <c r="B240" s="3">
        <v>20238103.350000001</v>
      </c>
      <c r="C240" s="3">
        <v>20135000</v>
      </c>
      <c r="D240" s="3">
        <v>103103.35</v>
      </c>
      <c r="E240" s="3">
        <v>20238103.350000001</v>
      </c>
      <c r="F240" s="3">
        <v>0</v>
      </c>
      <c r="G240" s="3">
        <v>20238103.350000001</v>
      </c>
      <c r="H240" s="3">
        <v>20135000</v>
      </c>
      <c r="I240" s="3">
        <v>103103.35</v>
      </c>
      <c r="J240" s="3">
        <v>20238103.350000001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20238103.350000001</v>
      </c>
      <c r="AG240" s="3">
        <v>20135000</v>
      </c>
      <c r="AH240" s="3">
        <v>103103.35</v>
      </c>
      <c r="AI240" s="3">
        <v>20238103.350000001</v>
      </c>
      <c r="AJ240" s="3">
        <v>0</v>
      </c>
      <c r="AK240" s="2" t="s">
        <v>444</v>
      </c>
      <c r="AL240" s="2" t="s">
        <v>723</v>
      </c>
      <c r="AM240" s="3">
        <f>VLOOKUP(AL240,Table1[],2,FALSE)</f>
        <v>0</v>
      </c>
      <c r="AN240" s="3">
        <f>VLOOKUP(AL240,Table1[],3,FALSE)</f>
        <v>0</v>
      </c>
      <c r="AO240" s="3">
        <f>VLOOKUP($AL240,Table1[],4,FALSE)</f>
        <v>0</v>
      </c>
      <c r="AP240" s="3">
        <f>VLOOKUP($AL240,Table1[],5,FALSE)</f>
        <v>0</v>
      </c>
      <c r="AQ240" s="3">
        <f>VLOOKUP($AL240,Table1[],6,FALSE)</f>
        <v>0</v>
      </c>
      <c r="AR240" s="3">
        <f>VLOOKUP($AL240,Table1[],7,FALSE)</f>
        <v>0</v>
      </c>
      <c r="AS240" s="3">
        <f>VLOOKUP($AL240,Table1[],8,FALSE)</f>
        <v>0</v>
      </c>
    </row>
    <row r="241" spans="1:45" x14ac:dyDescent="0.35">
      <c r="A241" s="2" t="s">
        <v>724</v>
      </c>
      <c r="B241" s="3">
        <v>12200000</v>
      </c>
      <c r="C241" s="3">
        <v>9646348.8000000007</v>
      </c>
      <c r="D241" s="3">
        <v>64037.58</v>
      </c>
      <c r="E241" s="3">
        <v>9710386.3800000008</v>
      </c>
      <c r="F241" s="3">
        <v>2489613.62</v>
      </c>
      <c r="G241" s="3">
        <v>12200000</v>
      </c>
      <c r="H241" s="3">
        <v>9647695.9900000002</v>
      </c>
      <c r="I241" s="3">
        <v>64037.58</v>
      </c>
      <c r="J241" s="3">
        <v>9711733.5700000003</v>
      </c>
      <c r="K241" s="3">
        <v>2488266.4300000002</v>
      </c>
      <c r="L241" s="3">
        <v>0</v>
      </c>
      <c r="M241" s="3">
        <v>-1347.19</v>
      </c>
      <c r="N241" s="3">
        <v>0</v>
      </c>
      <c r="O241" s="3">
        <v>-1347.19</v>
      </c>
      <c r="P241" s="3">
        <v>1347.19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12200000</v>
      </c>
      <c r="AG241" s="3">
        <v>9646348.8000000007</v>
      </c>
      <c r="AH241" s="3">
        <v>64037.58</v>
      </c>
      <c r="AI241" s="3">
        <v>9710386.3800000008</v>
      </c>
      <c r="AJ241" s="3">
        <v>2489613.62</v>
      </c>
      <c r="AK241" s="2" t="s">
        <v>725</v>
      </c>
      <c r="AL241" s="2" t="s">
        <v>726</v>
      </c>
      <c r="AM241" s="3">
        <f>VLOOKUP(AL241,Table1[],2,FALSE)</f>
        <v>0</v>
      </c>
      <c r="AN241" s="3">
        <f>VLOOKUP(AL241,Table1[],3,FALSE)</f>
        <v>0</v>
      </c>
      <c r="AO241" s="3">
        <f>VLOOKUP($AL241,Table1[],4,FALSE)</f>
        <v>0</v>
      </c>
      <c r="AP241" s="3">
        <f>VLOOKUP($AL241,Table1[],5,FALSE)</f>
        <v>0</v>
      </c>
      <c r="AQ241" s="3">
        <f>VLOOKUP($AL241,Table1[],6,FALSE)</f>
        <v>0</v>
      </c>
      <c r="AR241" s="3">
        <f>VLOOKUP($AL241,Table1[],7,FALSE)</f>
        <v>0</v>
      </c>
      <c r="AS241" s="3">
        <f>VLOOKUP($AL241,Table1[],8,FALSE)</f>
        <v>0</v>
      </c>
    </row>
    <row r="242" spans="1:45" x14ac:dyDescent="0.35">
      <c r="A242" s="2" t="s">
        <v>727</v>
      </c>
      <c r="B242" s="3">
        <v>1500000</v>
      </c>
      <c r="C242" s="3">
        <v>1201245.9099999999</v>
      </c>
      <c r="D242" s="3">
        <v>0</v>
      </c>
      <c r="E242" s="3">
        <v>1201245.9099999999</v>
      </c>
      <c r="F242" s="3">
        <v>298754.09000000003</v>
      </c>
      <c r="G242" s="3">
        <v>1500000</v>
      </c>
      <c r="H242" s="3">
        <v>1201245.9099999999</v>
      </c>
      <c r="I242" s="3">
        <v>0</v>
      </c>
      <c r="J242" s="3">
        <v>1201245.9099999999</v>
      </c>
      <c r="K242" s="3">
        <v>298754.09000000003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1500000</v>
      </c>
      <c r="AG242" s="3">
        <v>1201245.9099999999</v>
      </c>
      <c r="AH242" s="3">
        <v>0</v>
      </c>
      <c r="AI242" s="3">
        <v>1201245.9099999999</v>
      </c>
      <c r="AJ242" s="3">
        <v>298754.09000000003</v>
      </c>
      <c r="AK242" s="2" t="s">
        <v>728</v>
      </c>
      <c r="AL242" s="2" t="s">
        <v>729</v>
      </c>
      <c r="AM242" s="3">
        <f>VLOOKUP(AL242,Table1[],2,FALSE)</f>
        <v>0</v>
      </c>
      <c r="AN242" s="3">
        <f>VLOOKUP(AL242,Table1[],3,FALSE)</f>
        <v>0</v>
      </c>
      <c r="AO242" s="3">
        <f>VLOOKUP($AL242,Table1[],4,FALSE)</f>
        <v>0</v>
      </c>
      <c r="AP242" s="3">
        <f>VLOOKUP($AL242,Table1[],5,FALSE)</f>
        <v>0</v>
      </c>
      <c r="AQ242" s="3">
        <f>VLOOKUP($AL242,Table1[],6,FALSE)</f>
        <v>0</v>
      </c>
      <c r="AR242" s="3">
        <f>VLOOKUP($AL242,Table1[],7,FALSE)</f>
        <v>0</v>
      </c>
      <c r="AS242" s="3">
        <f>VLOOKUP($AL242,Table1[],8,FALSE)</f>
        <v>0</v>
      </c>
    </row>
    <row r="243" spans="1:45" x14ac:dyDescent="0.35">
      <c r="A243" s="2" t="s">
        <v>730</v>
      </c>
      <c r="B243" s="3">
        <v>3000000</v>
      </c>
      <c r="C243" s="3">
        <v>2706033.2</v>
      </c>
      <c r="D243" s="3">
        <v>0</v>
      </c>
      <c r="E243" s="3">
        <v>2706033.2</v>
      </c>
      <c r="F243" s="3">
        <v>293966.8</v>
      </c>
      <c r="G243" s="3">
        <v>3000000</v>
      </c>
      <c r="H243" s="3">
        <v>2706033.2</v>
      </c>
      <c r="I243" s="3">
        <v>0</v>
      </c>
      <c r="J243" s="3">
        <v>2706033.2</v>
      </c>
      <c r="K243" s="3">
        <v>293966.8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3000000</v>
      </c>
      <c r="AG243" s="3">
        <v>2706033.2</v>
      </c>
      <c r="AH243" s="3">
        <v>0</v>
      </c>
      <c r="AI243" s="3">
        <v>2706033.2</v>
      </c>
      <c r="AJ243" s="3">
        <v>293966.8</v>
      </c>
      <c r="AK243" s="2" t="s">
        <v>731</v>
      </c>
      <c r="AL243" s="2" t="s">
        <v>732</v>
      </c>
      <c r="AM243" s="3">
        <f>VLOOKUP(AL243,Table1[],2,FALSE)</f>
        <v>0</v>
      </c>
      <c r="AN243" s="3">
        <f>VLOOKUP(AL243,Table1[],3,FALSE)</f>
        <v>0</v>
      </c>
      <c r="AO243" s="3">
        <f>VLOOKUP($AL243,Table1[],4,FALSE)</f>
        <v>0</v>
      </c>
      <c r="AP243" s="3">
        <f>VLOOKUP($AL243,Table1[],5,FALSE)</f>
        <v>0</v>
      </c>
      <c r="AQ243" s="3">
        <f>VLOOKUP($AL243,Table1[],6,FALSE)</f>
        <v>0</v>
      </c>
      <c r="AR243" s="3">
        <f>VLOOKUP($AL243,Table1[],7,FALSE)</f>
        <v>0</v>
      </c>
      <c r="AS243" s="3">
        <f>VLOOKUP($AL243,Table1[],8,FALSE)</f>
        <v>0</v>
      </c>
    </row>
    <row r="244" spans="1:45" x14ac:dyDescent="0.35">
      <c r="A244" s="2" t="s">
        <v>733</v>
      </c>
      <c r="B244" s="3">
        <v>2300000</v>
      </c>
      <c r="C244" s="3">
        <v>1576461.71</v>
      </c>
      <c r="D244" s="3">
        <v>0</v>
      </c>
      <c r="E244" s="3">
        <v>1576461.71</v>
      </c>
      <c r="F244" s="3">
        <v>723538.29</v>
      </c>
      <c r="G244" s="3">
        <v>2300000</v>
      </c>
      <c r="H244" s="3">
        <v>1576461.71</v>
      </c>
      <c r="I244" s="3">
        <v>0</v>
      </c>
      <c r="J244" s="3">
        <v>1576461.71</v>
      </c>
      <c r="K244" s="3">
        <v>723538.29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2300000</v>
      </c>
      <c r="AG244" s="3">
        <v>1576461.71</v>
      </c>
      <c r="AH244" s="3">
        <v>0</v>
      </c>
      <c r="AI244" s="3">
        <v>1576461.71</v>
      </c>
      <c r="AJ244" s="3">
        <v>723538.29</v>
      </c>
      <c r="AK244" s="2" t="s">
        <v>734</v>
      </c>
      <c r="AL244" s="2" t="s">
        <v>735</v>
      </c>
      <c r="AM244" s="3">
        <f>VLOOKUP(AL244,Table1[],2,FALSE)</f>
        <v>0</v>
      </c>
      <c r="AN244" s="3">
        <f>VLOOKUP(AL244,Table1[],3,FALSE)</f>
        <v>0</v>
      </c>
      <c r="AO244" s="3">
        <f>VLOOKUP($AL244,Table1[],4,FALSE)</f>
        <v>0</v>
      </c>
      <c r="AP244" s="3">
        <f>VLOOKUP($AL244,Table1[],5,FALSE)</f>
        <v>0</v>
      </c>
      <c r="AQ244" s="3">
        <f>VLOOKUP($AL244,Table1[],6,FALSE)</f>
        <v>0</v>
      </c>
      <c r="AR244" s="3">
        <f>VLOOKUP($AL244,Table1[],7,FALSE)</f>
        <v>0</v>
      </c>
      <c r="AS244" s="3">
        <f>VLOOKUP($AL244,Table1[],8,FALSE)</f>
        <v>0</v>
      </c>
    </row>
    <row r="245" spans="1:45" x14ac:dyDescent="0.35">
      <c r="A245" s="2" t="s">
        <v>736</v>
      </c>
      <c r="B245" s="3">
        <v>10000000</v>
      </c>
      <c r="C245" s="3">
        <v>0</v>
      </c>
      <c r="D245" s="3">
        <v>8447806</v>
      </c>
      <c r="E245" s="3">
        <v>8447806</v>
      </c>
      <c r="F245" s="3">
        <v>1552194</v>
      </c>
      <c r="G245" s="3">
        <v>10000000</v>
      </c>
      <c r="H245" s="3">
        <v>0</v>
      </c>
      <c r="I245" s="3">
        <v>8447806</v>
      </c>
      <c r="J245" s="3">
        <v>8447806</v>
      </c>
      <c r="K245" s="3">
        <v>1552194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10000000</v>
      </c>
      <c r="AG245" s="3">
        <v>0</v>
      </c>
      <c r="AH245" s="3">
        <v>8447806</v>
      </c>
      <c r="AI245" s="3">
        <v>8447806</v>
      </c>
      <c r="AJ245" s="3">
        <v>1552194</v>
      </c>
      <c r="AK245" s="2" t="s">
        <v>737</v>
      </c>
      <c r="AL245" s="2" t="s">
        <v>738</v>
      </c>
      <c r="AM245" s="3" t="e">
        <f>VLOOKUP(AL245,Table1[],2,FALSE)</f>
        <v>#N/A</v>
      </c>
      <c r="AN245" s="3" t="e">
        <f>VLOOKUP(AL245,Table1[],3,FALSE)</f>
        <v>#N/A</v>
      </c>
      <c r="AO245" s="3" t="e">
        <f>VLOOKUP($AL245,Table1[],4,FALSE)</f>
        <v>#N/A</v>
      </c>
      <c r="AP245" s="3" t="e">
        <f>VLOOKUP($AL245,Table1[],5,FALSE)</f>
        <v>#N/A</v>
      </c>
      <c r="AQ245" s="3" t="e">
        <f>VLOOKUP($AL245,Table1[],6,FALSE)</f>
        <v>#N/A</v>
      </c>
      <c r="AR245" s="3" t="e">
        <f>VLOOKUP($AL245,Table1[],7,FALSE)</f>
        <v>#N/A</v>
      </c>
      <c r="AS245" s="3" t="e">
        <f>VLOOKUP($AL245,Table1[],8,FALSE)</f>
        <v>#N/A</v>
      </c>
    </row>
    <row r="246" spans="1:45" x14ac:dyDescent="0.35">
      <c r="A246" s="2" t="s">
        <v>739</v>
      </c>
      <c r="B246" s="3">
        <v>949500</v>
      </c>
      <c r="C246" s="3">
        <v>29500</v>
      </c>
      <c r="D246" s="3">
        <v>88500</v>
      </c>
      <c r="E246" s="3">
        <v>118000</v>
      </c>
      <c r="F246" s="3">
        <v>831500</v>
      </c>
      <c r="G246" s="3">
        <v>29500</v>
      </c>
      <c r="H246" s="3">
        <v>29500</v>
      </c>
      <c r="I246" s="3">
        <v>0</v>
      </c>
      <c r="J246" s="3">
        <v>29500</v>
      </c>
      <c r="K246" s="3">
        <v>0</v>
      </c>
      <c r="L246" s="3">
        <v>920000</v>
      </c>
      <c r="M246" s="3">
        <v>0</v>
      </c>
      <c r="N246" s="3">
        <v>88500</v>
      </c>
      <c r="O246" s="3">
        <v>88500</v>
      </c>
      <c r="P246" s="3">
        <v>831500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949500</v>
      </c>
      <c r="AG246" s="3">
        <v>29500</v>
      </c>
      <c r="AH246" s="3">
        <v>88500</v>
      </c>
      <c r="AI246" s="3">
        <v>118000</v>
      </c>
      <c r="AJ246" s="3">
        <v>831500</v>
      </c>
      <c r="AK246" s="2" t="s">
        <v>740</v>
      </c>
      <c r="AL246" s="2" t="s">
        <v>741</v>
      </c>
      <c r="AM246" s="3">
        <f>VLOOKUP(AL246,Table1[],2,FALSE)</f>
        <v>0</v>
      </c>
      <c r="AN246" s="3">
        <f>VLOOKUP(AL246,Table1[],3,FALSE)</f>
        <v>0</v>
      </c>
      <c r="AO246" s="3">
        <f>VLOOKUP($AL246,Table1[],4,FALSE)</f>
        <v>0</v>
      </c>
      <c r="AP246" s="3">
        <f>VLOOKUP($AL246,Table1[],5,FALSE)</f>
        <v>0</v>
      </c>
      <c r="AQ246" s="3">
        <f>VLOOKUP($AL246,Table1[],6,FALSE)</f>
        <v>0</v>
      </c>
      <c r="AR246" s="3">
        <f>VLOOKUP($AL246,Table1[],7,FALSE)</f>
        <v>0</v>
      </c>
      <c r="AS246" s="3">
        <f>VLOOKUP($AL246,Table1[],8,FALSE)</f>
        <v>0</v>
      </c>
    </row>
    <row r="247" spans="1:45" x14ac:dyDescent="0.35">
      <c r="A247" s="2" t="s">
        <v>742</v>
      </c>
      <c r="B247" s="3">
        <v>2500000</v>
      </c>
      <c r="C247" s="3">
        <v>2223127.84</v>
      </c>
      <c r="D247" s="3">
        <v>164853.04</v>
      </c>
      <c r="E247" s="3">
        <v>2387980.88</v>
      </c>
      <c r="F247" s="3">
        <v>112019.12</v>
      </c>
      <c r="G247" s="3">
        <v>2500000</v>
      </c>
      <c r="H247" s="3">
        <v>2223127.84</v>
      </c>
      <c r="I247" s="3">
        <v>164853.04</v>
      </c>
      <c r="J247" s="3">
        <v>2387980.88</v>
      </c>
      <c r="K247" s="3">
        <v>112019.12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2500000</v>
      </c>
      <c r="AG247" s="3">
        <v>2223127.84</v>
      </c>
      <c r="AH247" s="3">
        <v>164853.04</v>
      </c>
      <c r="AI247" s="3">
        <v>2387980.88</v>
      </c>
      <c r="AJ247" s="3">
        <v>112019.12</v>
      </c>
      <c r="AK247" s="2" t="s">
        <v>743</v>
      </c>
      <c r="AL247" s="2" t="s">
        <v>744</v>
      </c>
      <c r="AM247" s="3">
        <f>VLOOKUP(AL247,Table1[],2,FALSE)</f>
        <v>0</v>
      </c>
      <c r="AN247" s="3">
        <f>VLOOKUP(AL247,Table1[],3,FALSE)</f>
        <v>0</v>
      </c>
      <c r="AO247" s="3">
        <f>VLOOKUP($AL247,Table1[],4,FALSE)</f>
        <v>0</v>
      </c>
      <c r="AP247" s="3">
        <f>VLOOKUP($AL247,Table1[],5,FALSE)</f>
        <v>0</v>
      </c>
      <c r="AQ247" s="3">
        <f>VLOOKUP($AL247,Table1[],6,FALSE)</f>
        <v>0</v>
      </c>
      <c r="AR247" s="3">
        <f>VLOOKUP($AL247,Table1[],7,FALSE)</f>
        <v>0</v>
      </c>
      <c r="AS247" s="3">
        <f>VLOOKUP($AL247,Table1[],8,FALSE)</f>
        <v>0</v>
      </c>
    </row>
    <row r="248" spans="1:45" x14ac:dyDescent="0.35">
      <c r="A248" s="2" t="s">
        <v>745</v>
      </c>
      <c r="B248" s="3">
        <v>3189226.46</v>
      </c>
      <c r="C248" s="3">
        <v>1976979.6</v>
      </c>
      <c r="D248" s="3">
        <v>1025811.07</v>
      </c>
      <c r="E248" s="3">
        <v>3002790.67</v>
      </c>
      <c r="F248" s="3">
        <v>186435.79</v>
      </c>
      <c r="G248" s="3">
        <v>289226.46000000002</v>
      </c>
      <c r="H248" s="3">
        <v>289226.46000000002</v>
      </c>
      <c r="I248" s="3">
        <v>0</v>
      </c>
      <c r="J248" s="3">
        <v>289226.46000000002</v>
      </c>
      <c r="K248" s="3">
        <v>0</v>
      </c>
      <c r="L248" s="3">
        <v>2900000</v>
      </c>
      <c r="M248" s="3">
        <v>1687753.14</v>
      </c>
      <c r="N248" s="3">
        <v>1025811.07</v>
      </c>
      <c r="O248" s="3">
        <v>2713564.21</v>
      </c>
      <c r="P248" s="3">
        <v>186435.79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3189226.46</v>
      </c>
      <c r="AG248" s="3">
        <v>1976979.6</v>
      </c>
      <c r="AH248" s="3">
        <v>1025811.07</v>
      </c>
      <c r="AI248" s="3">
        <v>3002790.67</v>
      </c>
      <c r="AJ248" s="3">
        <v>186435.79</v>
      </c>
      <c r="AK248" s="2" t="s">
        <v>746</v>
      </c>
      <c r="AL248" s="2" t="s">
        <v>747</v>
      </c>
      <c r="AM248" s="3">
        <f>VLOOKUP(AL248,Table1[],2,FALSE)</f>
        <v>0</v>
      </c>
      <c r="AN248" s="3">
        <f>VLOOKUP(AL248,Table1[],3,FALSE)</f>
        <v>0</v>
      </c>
      <c r="AO248" s="3">
        <f>VLOOKUP($AL248,Table1[],4,FALSE)</f>
        <v>0</v>
      </c>
      <c r="AP248" s="3">
        <f>VLOOKUP($AL248,Table1[],5,FALSE)</f>
        <v>0</v>
      </c>
      <c r="AQ248" s="3">
        <f>VLOOKUP($AL248,Table1[],6,FALSE)</f>
        <v>0</v>
      </c>
      <c r="AR248" s="3">
        <f>VLOOKUP($AL248,Table1[],7,FALSE)</f>
        <v>0</v>
      </c>
      <c r="AS248" s="3">
        <f>VLOOKUP($AL248,Table1[],8,FALSE)</f>
        <v>0</v>
      </c>
    </row>
    <row r="249" spans="1:45" x14ac:dyDescent="0.35">
      <c r="A249" s="2" t="s">
        <v>748</v>
      </c>
      <c r="B249" s="3">
        <v>2239372.2799999998</v>
      </c>
      <c r="C249" s="3">
        <v>436486.97</v>
      </c>
      <c r="D249" s="3">
        <v>1802885.25</v>
      </c>
      <c r="E249" s="3">
        <v>2239372.2200000002</v>
      </c>
      <c r="F249" s="3">
        <v>0.06</v>
      </c>
      <c r="G249" s="3">
        <v>239372.28</v>
      </c>
      <c r="H249" s="3">
        <v>239372.28</v>
      </c>
      <c r="I249" s="3">
        <v>0</v>
      </c>
      <c r="J249" s="3">
        <v>239372.28</v>
      </c>
      <c r="K249" s="3">
        <v>0</v>
      </c>
      <c r="L249" s="3">
        <v>2000000</v>
      </c>
      <c r="M249" s="3">
        <v>197114.69</v>
      </c>
      <c r="N249" s="3">
        <v>1802885.25</v>
      </c>
      <c r="O249" s="3">
        <v>1999999.94</v>
      </c>
      <c r="P249" s="3">
        <v>0.06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2239372.2799999998</v>
      </c>
      <c r="AG249" s="3">
        <v>436486.97</v>
      </c>
      <c r="AH249" s="3">
        <v>1802885.25</v>
      </c>
      <c r="AI249" s="3">
        <v>2239372.2200000002</v>
      </c>
      <c r="AJ249" s="3">
        <v>0.06</v>
      </c>
      <c r="AK249" s="2" t="s">
        <v>749</v>
      </c>
      <c r="AL249" s="2" t="s">
        <v>750</v>
      </c>
      <c r="AM249" s="3">
        <f>VLOOKUP(AL249,Table1[],2,FALSE)</f>
        <v>0</v>
      </c>
      <c r="AN249" s="3">
        <f>VLOOKUP(AL249,Table1[],3,FALSE)</f>
        <v>0</v>
      </c>
      <c r="AO249" s="3">
        <f>VLOOKUP($AL249,Table1[],4,FALSE)</f>
        <v>0</v>
      </c>
      <c r="AP249" s="3">
        <f>VLOOKUP($AL249,Table1[],5,FALSE)</f>
        <v>0</v>
      </c>
      <c r="AQ249" s="3">
        <f>VLOOKUP($AL249,Table1[],6,FALSE)</f>
        <v>0</v>
      </c>
      <c r="AR249" s="3">
        <f>VLOOKUP($AL249,Table1[],7,FALSE)</f>
        <v>0</v>
      </c>
      <c r="AS249" s="3">
        <f>VLOOKUP($AL249,Table1[],8,FALSE)</f>
        <v>0</v>
      </c>
    </row>
    <row r="250" spans="1:45" x14ac:dyDescent="0.35">
      <c r="A250" s="2" t="s">
        <v>751</v>
      </c>
      <c r="B250" s="3">
        <v>3500000</v>
      </c>
      <c r="C250" s="3">
        <v>1053101.8400000001</v>
      </c>
      <c r="D250" s="3">
        <v>53374.65</v>
      </c>
      <c r="E250" s="3">
        <v>1106476.49</v>
      </c>
      <c r="F250" s="3">
        <v>2393523.5099999998</v>
      </c>
      <c r="G250" s="3">
        <v>3500000</v>
      </c>
      <c r="H250" s="3">
        <v>1053102.3</v>
      </c>
      <c r="I250" s="3">
        <v>53374.65</v>
      </c>
      <c r="J250" s="3">
        <v>1106476.95</v>
      </c>
      <c r="K250" s="3">
        <v>2393523.0499999998</v>
      </c>
      <c r="L250" s="3">
        <v>0</v>
      </c>
      <c r="M250" s="3">
        <v>-0.46</v>
      </c>
      <c r="N250" s="3">
        <v>0</v>
      </c>
      <c r="O250" s="3">
        <v>-0.46</v>
      </c>
      <c r="P250" s="3">
        <v>0.46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3500000</v>
      </c>
      <c r="AG250" s="3">
        <v>1053101.8400000001</v>
      </c>
      <c r="AH250" s="3">
        <v>53374.65</v>
      </c>
      <c r="AI250" s="3">
        <v>1106476.49</v>
      </c>
      <c r="AJ250" s="3">
        <v>2393523.5099999998</v>
      </c>
      <c r="AK250" s="2" t="s">
        <v>752</v>
      </c>
      <c r="AL250" s="2" t="s">
        <v>753</v>
      </c>
      <c r="AM250" s="3">
        <f>VLOOKUP(AL250,Table1[],2,FALSE)</f>
        <v>0</v>
      </c>
      <c r="AN250" s="3">
        <f>VLOOKUP(AL250,Table1[],3,FALSE)</f>
        <v>0</v>
      </c>
      <c r="AO250" s="3">
        <f>VLOOKUP($AL250,Table1[],4,FALSE)</f>
        <v>0</v>
      </c>
      <c r="AP250" s="3">
        <f>VLOOKUP($AL250,Table1[],5,FALSE)</f>
        <v>0</v>
      </c>
      <c r="AQ250" s="3">
        <f>VLOOKUP($AL250,Table1[],6,FALSE)</f>
        <v>0</v>
      </c>
      <c r="AR250" s="3">
        <f>VLOOKUP($AL250,Table1[],7,FALSE)</f>
        <v>0</v>
      </c>
      <c r="AS250" s="3">
        <f>VLOOKUP($AL250,Table1[],8,FALSE)</f>
        <v>0</v>
      </c>
    </row>
    <row r="251" spans="1:45" x14ac:dyDescent="0.35">
      <c r="A251" s="2" t="s">
        <v>754</v>
      </c>
      <c r="B251" s="3">
        <v>2509946.2999999998</v>
      </c>
      <c r="C251" s="3">
        <v>2120625.94</v>
      </c>
      <c r="D251" s="3">
        <v>374009.23</v>
      </c>
      <c r="E251" s="3">
        <v>2494635.17</v>
      </c>
      <c r="F251" s="3">
        <v>15311.13</v>
      </c>
      <c r="G251" s="3">
        <v>1609946.3</v>
      </c>
      <c r="H251" s="3">
        <v>1609946.3</v>
      </c>
      <c r="I251" s="3">
        <v>0</v>
      </c>
      <c r="J251" s="3">
        <v>1609946.3</v>
      </c>
      <c r="K251" s="3">
        <v>0</v>
      </c>
      <c r="L251" s="3">
        <v>900000</v>
      </c>
      <c r="M251" s="3">
        <v>510679.64</v>
      </c>
      <c r="N251" s="3">
        <v>374009.23</v>
      </c>
      <c r="O251" s="3">
        <v>884688.87</v>
      </c>
      <c r="P251" s="3">
        <v>15311.13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2509946.2999999998</v>
      </c>
      <c r="AG251" s="3">
        <v>2120625.94</v>
      </c>
      <c r="AH251" s="3">
        <v>374009.23</v>
      </c>
      <c r="AI251" s="3">
        <v>2494635.17</v>
      </c>
      <c r="AJ251" s="3">
        <v>15311.13</v>
      </c>
      <c r="AK251" s="2" t="s">
        <v>755</v>
      </c>
      <c r="AL251" s="2" t="s">
        <v>756</v>
      </c>
      <c r="AM251" s="3">
        <f>VLOOKUP(AL251,Table1[],2,FALSE)</f>
        <v>0</v>
      </c>
      <c r="AN251" s="3">
        <f>VLOOKUP(AL251,Table1[],3,FALSE)</f>
        <v>0</v>
      </c>
      <c r="AO251" s="3">
        <f>VLOOKUP($AL251,Table1[],4,FALSE)</f>
        <v>0</v>
      </c>
      <c r="AP251" s="3">
        <f>VLOOKUP($AL251,Table1[],5,FALSE)</f>
        <v>0</v>
      </c>
      <c r="AQ251" s="3">
        <f>VLOOKUP($AL251,Table1[],6,FALSE)</f>
        <v>0</v>
      </c>
      <c r="AR251" s="3">
        <f>VLOOKUP($AL251,Table1[],7,FALSE)</f>
        <v>0</v>
      </c>
      <c r="AS251" s="3">
        <f>VLOOKUP($AL251,Table1[],8,FALSE)</f>
        <v>0</v>
      </c>
    </row>
    <row r="252" spans="1:45" x14ac:dyDescent="0.35">
      <c r="A252" s="2" t="s">
        <v>757</v>
      </c>
      <c r="B252" s="3">
        <v>638000</v>
      </c>
      <c r="C252" s="3">
        <v>0</v>
      </c>
      <c r="D252" s="3">
        <v>0</v>
      </c>
      <c r="E252" s="3">
        <v>0</v>
      </c>
      <c r="F252" s="3">
        <v>638000</v>
      </c>
      <c r="G252" s="3">
        <v>638000</v>
      </c>
      <c r="H252" s="3">
        <v>0</v>
      </c>
      <c r="I252" s="3">
        <v>0</v>
      </c>
      <c r="J252" s="3">
        <v>0</v>
      </c>
      <c r="K252" s="3">
        <v>638000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638000</v>
      </c>
      <c r="AG252" s="3">
        <v>0</v>
      </c>
      <c r="AH252" s="3">
        <v>0</v>
      </c>
      <c r="AI252" s="3">
        <v>0</v>
      </c>
      <c r="AJ252" s="3">
        <v>638000</v>
      </c>
      <c r="AK252" s="2" t="s">
        <v>758</v>
      </c>
      <c r="AL252" s="2" t="s">
        <v>759</v>
      </c>
      <c r="AM252" s="3" t="e">
        <f>VLOOKUP(AL252,Table1[],2,FALSE)</f>
        <v>#N/A</v>
      </c>
      <c r="AN252" s="3" t="e">
        <f>VLOOKUP(AL252,Table1[],3,FALSE)</f>
        <v>#N/A</v>
      </c>
      <c r="AO252" s="3" t="e">
        <f>VLOOKUP($AL252,Table1[],4,FALSE)</f>
        <v>#N/A</v>
      </c>
      <c r="AP252" s="3" t="e">
        <f>VLOOKUP($AL252,Table1[],5,FALSE)</f>
        <v>#N/A</v>
      </c>
      <c r="AQ252" s="3" t="e">
        <f>VLOOKUP($AL252,Table1[],6,FALSE)</f>
        <v>#N/A</v>
      </c>
      <c r="AR252" s="3" t="e">
        <f>VLOOKUP($AL252,Table1[],7,FALSE)</f>
        <v>#N/A</v>
      </c>
      <c r="AS252" s="3" t="e">
        <f>VLOOKUP($AL252,Table1[],8,FALSE)</f>
        <v>#N/A</v>
      </c>
    </row>
    <row r="253" spans="1:45" x14ac:dyDescent="0.35">
      <c r="A253" s="2" t="s">
        <v>760</v>
      </c>
      <c r="B253" s="3">
        <v>6500000</v>
      </c>
      <c r="C253" s="3">
        <v>0</v>
      </c>
      <c r="D253" s="3">
        <v>0</v>
      </c>
      <c r="E253" s="3">
        <v>0</v>
      </c>
      <c r="F253" s="3">
        <v>6500000</v>
      </c>
      <c r="G253" s="3">
        <v>6500000</v>
      </c>
      <c r="H253" s="3">
        <v>0</v>
      </c>
      <c r="I253" s="3">
        <v>0</v>
      </c>
      <c r="J253" s="3">
        <v>0</v>
      </c>
      <c r="K253" s="3">
        <v>6500000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6500000</v>
      </c>
      <c r="AG253" s="3">
        <v>0</v>
      </c>
      <c r="AH253" s="3">
        <v>0</v>
      </c>
      <c r="AI253" s="3">
        <v>0</v>
      </c>
      <c r="AJ253" s="3">
        <v>6500000</v>
      </c>
      <c r="AK253" s="2" t="s">
        <v>761</v>
      </c>
      <c r="AL253" s="2" t="s">
        <v>762</v>
      </c>
      <c r="AM253" s="3" t="e">
        <f>VLOOKUP(AL253,Table1[],2,FALSE)</f>
        <v>#N/A</v>
      </c>
      <c r="AN253" s="3" t="e">
        <f>VLOOKUP(AL253,Table1[],3,FALSE)</f>
        <v>#N/A</v>
      </c>
      <c r="AO253" s="3" t="e">
        <f>VLOOKUP($AL253,Table1[],4,FALSE)</f>
        <v>#N/A</v>
      </c>
      <c r="AP253" s="3" t="e">
        <f>VLOOKUP($AL253,Table1[],5,FALSE)</f>
        <v>#N/A</v>
      </c>
      <c r="AQ253" s="3" t="e">
        <f>VLOOKUP($AL253,Table1[],6,FALSE)</f>
        <v>#N/A</v>
      </c>
      <c r="AR253" s="3" t="e">
        <f>VLOOKUP($AL253,Table1[],7,FALSE)</f>
        <v>#N/A</v>
      </c>
      <c r="AS253" s="3" t="e">
        <f>VLOOKUP($AL253,Table1[],8,FALSE)</f>
        <v>#N/A</v>
      </c>
    </row>
    <row r="254" spans="1:45" x14ac:dyDescent="0.35">
      <c r="A254" s="2" t="s">
        <v>763</v>
      </c>
      <c r="B254" s="3">
        <v>3301961.2</v>
      </c>
      <c r="C254" s="3">
        <v>2697007.85</v>
      </c>
      <c r="D254" s="3">
        <v>156691.25</v>
      </c>
      <c r="E254" s="3">
        <v>2853699.1</v>
      </c>
      <c r="F254" s="3">
        <v>448262.1</v>
      </c>
      <c r="G254" s="3">
        <v>2101961.2000000002</v>
      </c>
      <c r="H254" s="3">
        <v>2101961.2000000002</v>
      </c>
      <c r="I254" s="3">
        <v>0</v>
      </c>
      <c r="J254" s="3">
        <v>2101961.2000000002</v>
      </c>
      <c r="K254" s="3">
        <v>0</v>
      </c>
      <c r="L254" s="3">
        <v>1200000</v>
      </c>
      <c r="M254" s="3">
        <v>595046.65</v>
      </c>
      <c r="N254" s="3">
        <v>156691.25</v>
      </c>
      <c r="O254" s="3">
        <v>751737.9</v>
      </c>
      <c r="P254" s="3">
        <v>448262.1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3301961.2</v>
      </c>
      <c r="AG254" s="3">
        <v>2697007.85</v>
      </c>
      <c r="AH254" s="3">
        <v>156691.25</v>
      </c>
      <c r="AI254" s="3">
        <v>2853699.1</v>
      </c>
      <c r="AJ254" s="3">
        <v>448262.1</v>
      </c>
      <c r="AK254" s="2" t="s">
        <v>764</v>
      </c>
      <c r="AL254" s="2" t="s">
        <v>765</v>
      </c>
      <c r="AM254" s="3">
        <f>VLOOKUP(AL254,Table1[],2,FALSE)</f>
        <v>0</v>
      </c>
      <c r="AN254" s="3">
        <f>VLOOKUP(AL254,Table1[],3,FALSE)</f>
        <v>0</v>
      </c>
      <c r="AO254" s="3">
        <f>VLOOKUP($AL254,Table1[],4,FALSE)</f>
        <v>0</v>
      </c>
      <c r="AP254" s="3">
        <f>VLOOKUP($AL254,Table1[],5,FALSE)</f>
        <v>0</v>
      </c>
      <c r="AQ254" s="3">
        <f>VLOOKUP($AL254,Table1[],6,FALSE)</f>
        <v>0</v>
      </c>
      <c r="AR254" s="3">
        <f>VLOOKUP($AL254,Table1[],7,FALSE)</f>
        <v>0</v>
      </c>
      <c r="AS254" s="3">
        <f>VLOOKUP($AL254,Table1[],8,FALSE)</f>
        <v>0</v>
      </c>
    </row>
    <row r="255" spans="1:45" x14ac:dyDescent="0.35">
      <c r="A255" s="2" t="s">
        <v>766</v>
      </c>
      <c r="B255" s="3">
        <v>11322971.460000001</v>
      </c>
      <c r="C255" s="3">
        <v>6983020.46</v>
      </c>
      <c r="D255" s="3">
        <v>2977236.45</v>
      </c>
      <c r="E255" s="3">
        <v>9960256.9100000001</v>
      </c>
      <c r="F255" s="3">
        <v>1362714.55</v>
      </c>
      <c r="G255" s="3">
        <v>4822971.46</v>
      </c>
      <c r="H255" s="3">
        <v>4822971.46</v>
      </c>
      <c r="I255" s="3">
        <v>0</v>
      </c>
      <c r="J255" s="3">
        <v>4822971.46</v>
      </c>
      <c r="K255" s="3">
        <v>0</v>
      </c>
      <c r="L255" s="3">
        <v>6500000</v>
      </c>
      <c r="M255" s="3">
        <v>2160049</v>
      </c>
      <c r="N255" s="3">
        <v>2977236.45</v>
      </c>
      <c r="O255" s="3">
        <v>5137285.45</v>
      </c>
      <c r="P255" s="3">
        <v>1362714.55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11322971.460000001</v>
      </c>
      <c r="AG255" s="3">
        <v>6983020.46</v>
      </c>
      <c r="AH255" s="3">
        <v>2977236.45</v>
      </c>
      <c r="AI255" s="3">
        <v>9960256.9100000001</v>
      </c>
      <c r="AJ255" s="3">
        <v>1362714.55</v>
      </c>
      <c r="AK255" s="2" t="s">
        <v>767</v>
      </c>
      <c r="AL255" s="2" t="s">
        <v>768</v>
      </c>
      <c r="AM255" s="3">
        <f>VLOOKUP(AL255,Table1[],2,FALSE)</f>
        <v>0</v>
      </c>
      <c r="AN255" s="3">
        <f>VLOOKUP(AL255,Table1[],3,FALSE)</f>
        <v>0</v>
      </c>
      <c r="AO255" s="3">
        <f>VLOOKUP($AL255,Table1[],4,FALSE)</f>
        <v>0</v>
      </c>
      <c r="AP255" s="3">
        <f>VLOOKUP($AL255,Table1[],5,FALSE)</f>
        <v>0</v>
      </c>
      <c r="AQ255" s="3">
        <f>VLOOKUP($AL255,Table1[],6,FALSE)</f>
        <v>0</v>
      </c>
      <c r="AR255" s="3">
        <f>VLOOKUP($AL255,Table1[],7,FALSE)</f>
        <v>0</v>
      </c>
      <c r="AS255" s="3">
        <f>VLOOKUP($AL255,Table1[],8,FALSE)</f>
        <v>0</v>
      </c>
    </row>
    <row r="256" spans="1:45" x14ac:dyDescent="0.35">
      <c r="A256" s="2" t="s">
        <v>769</v>
      </c>
      <c r="B256" s="3">
        <v>1500000</v>
      </c>
      <c r="C256" s="3">
        <v>712377.94</v>
      </c>
      <c r="D256" s="3">
        <v>0</v>
      </c>
      <c r="E256" s="3">
        <v>712377.94</v>
      </c>
      <c r="F256" s="3">
        <v>787622.06</v>
      </c>
      <c r="G256" s="3">
        <v>1500000</v>
      </c>
      <c r="H256" s="3">
        <v>712377.94</v>
      </c>
      <c r="I256" s="3">
        <v>0</v>
      </c>
      <c r="J256" s="3">
        <v>712377.94</v>
      </c>
      <c r="K256" s="3">
        <v>787622.06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1500000</v>
      </c>
      <c r="AG256" s="3">
        <v>712377.94</v>
      </c>
      <c r="AH256" s="3">
        <v>0</v>
      </c>
      <c r="AI256" s="3">
        <v>712377.94</v>
      </c>
      <c r="AJ256" s="3">
        <v>787622.06</v>
      </c>
      <c r="AK256" s="2" t="s">
        <v>770</v>
      </c>
      <c r="AL256" s="2" t="s">
        <v>771</v>
      </c>
      <c r="AM256" s="3">
        <f>VLOOKUP(AL256,Table1[],2,FALSE)</f>
        <v>0</v>
      </c>
      <c r="AN256" s="3">
        <f>VLOOKUP(AL256,Table1[],3,FALSE)</f>
        <v>0</v>
      </c>
      <c r="AO256" s="3">
        <f>VLOOKUP($AL256,Table1[],4,FALSE)</f>
        <v>0</v>
      </c>
      <c r="AP256" s="3">
        <f>VLOOKUP($AL256,Table1[],5,FALSE)</f>
        <v>0</v>
      </c>
      <c r="AQ256" s="3">
        <f>VLOOKUP($AL256,Table1[],6,FALSE)</f>
        <v>0</v>
      </c>
      <c r="AR256" s="3">
        <f>VLOOKUP($AL256,Table1[],7,FALSE)</f>
        <v>0</v>
      </c>
      <c r="AS256" s="3">
        <f>VLOOKUP($AL256,Table1[],8,FALSE)</f>
        <v>0</v>
      </c>
    </row>
    <row r="257" spans="1:45" x14ac:dyDescent="0.35">
      <c r="A257" s="2" t="s">
        <v>772</v>
      </c>
      <c r="B257" s="3">
        <v>6000000</v>
      </c>
      <c r="C257" s="3">
        <v>0</v>
      </c>
      <c r="D257" s="3">
        <v>4100715.94</v>
      </c>
      <c r="E257" s="3">
        <v>4100715.94</v>
      </c>
      <c r="F257" s="3">
        <v>1899284.06</v>
      </c>
      <c r="G257" s="3">
        <v>6000000</v>
      </c>
      <c r="H257" s="3">
        <v>0</v>
      </c>
      <c r="I257" s="3">
        <v>4100715.94</v>
      </c>
      <c r="J257" s="3">
        <v>4100715.94</v>
      </c>
      <c r="K257" s="3">
        <v>1899284.06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6000000</v>
      </c>
      <c r="AG257" s="3">
        <v>0</v>
      </c>
      <c r="AH257" s="3">
        <v>4100715.94</v>
      </c>
      <c r="AI257" s="3">
        <v>4100715.94</v>
      </c>
      <c r="AJ257" s="3">
        <v>1899284.06</v>
      </c>
      <c r="AK257" s="2" t="s">
        <v>773</v>
      </c>
      <c r="AL257" s="2" t="s">
        <v>774</v>
      </c>
      <c r="AM257" s="3" t="e">
        <f>VLOOKUP(AL257,Table1[],2,FALSE)</f>
        <v>#N/A</v>
      </c>
      <c r="AN257" s="3" t="e">
        <f>VLOOKUP(AL257,Table1[],3,FALSE)</f>
        <v>#N/A</v>
      </c>
      <c r="AO257" s="3" t="e">
        <f>VLOOKUP($AL257,Table1[],4,FALSE)</f>
        <v>#N/A</v>
      </c>
      <c r="AP257" s="3" t="e">
        <f>VLOOKUP($AL257,Table1[],5,FALSE)</f>
        <v>#N/A</v>
      </c>
      <c r="AQ257" s="3" t="e">
        <f>VLOOKUP($AL257,Table1[],6,FALSE)</f>
        <v>#N/A</v>
      </c>
      <c r="AR257" s="3" t="e">
        <f>VLOOKUP($AL257,Table1[],7,FALSE)</f>
        <v>#N/A</v>
      </c>
      <c r="AS257" s="3" t="e">
        <f>VLOOKUP($AL257,Table1[],8,FALSE)</f>
        <v>#N/A</v>
      </c>
    </row>
    <row r="258" spans="1:45" x14ac:dyDescent="0.35">
      <c r="A258" s="2" t="s">
        <v>775</v>
      </c>
      <c r="B258" s="3">
        <v>22690896.649999999</v>
      </c>
      <c r="C258" s="3">
        <v>0</v>
      </c>
      <c r="D258" s="3">
        <v>0</v>
      </c>
      <c r="E258" s="3">
        <v>0</v>
      </c>
      <c r="F258" s="3">
        <v>22690896.649999999</v>
      </c>
      <c r="G258" s="3">
        <v>22690896.649999999</v>
      </c>
      <c r="H258" s="3">
        <v>0</v>
      </c>
      <c r="I258" s="3">
        <v>0</v>
      </c>
      <c r="J258" s="3">
        <v>0</v>
      </c>
      <c r="K258" s="3">
        <v>22690896.649999999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22690896.649999999</v>
      </c>
      <c r="AG258" s="3">
        <v>0</v>
      </c>
      <c r="AH258" s="3">
        <v>0</v>
      </c>
      <c r="AI258" s="3">
        <v>0</v>
      </c>
      <c r="AJ258" s="3">
        <v>22690896.649999999</v>
      </c>
      <c r="AK258" s="2" t="s">
        <v>471</v>
      </c>
      <c r="AL258" s="2" t="s">
        <v>776</v>
      </c>
      <c r="AM258" s="3" t="e">
        <f>VLOOKUP(AL258,Table1[],2,FALSE)</f>
        <v>#N/A</v>
      </c>
      <c r="AN258" s="3" t="e">
        <f>VLOOKUP(AL258,Table1[],3,FALSE)</f>
        <v>#N/A</v>
      </c>
      <c r="AO258" s="3" t="e">
        <f>VLOOKUP($AL258,Table1[],4,FALSE)</f>
        <v>#N/A</v>
      </c>
      <c r="AP258" s="3" t="e">
        <f>VLOOKUP($AL258,Table1[],5,FALSE)</f>
        <v>#N/A</v>
      </c>
      <c r="AQ258" s="3" t="e">
        <f>VLOOKUP($AL258,Table1[],6,FALSE)</f>
        <v>#N/A</v>
      </c>
      <c r="AR258" s="3" t="e">
        <f>VLOOKUP($AL258,Table1[],7,FALSE)</f>
        <v>#N/A</v>
      </c>
      <c r="AS258" s="3" t="e">
        <f>VLOOKUP($AL258,Table1[],8,FALSE)</f>
        <v>#N/A</v>
      </c>
    </row>
    <row r="259" spans="1:45" x14ac:dyDescent="0.35">
      <c r="A259" s="2" t="s">
        <v>777</v>
      </c>
      <c r="B259" s="3">
        <v>9738361.9700000007</v>
      </c>
      <c r="C259" s="3">
        <v>5038361.97</v>
      </c>
      <c r="D259" s="3">
        <v>1290872.46</v>
      </c>
      <c r="E259" s="3">
        <v>6329234.4299999997</v>
      </c>
      <c r="F259" s="3">
        <v>3409127.54</v>
      </c>
      <c r="G259" s="3">
        <v>5038361.97</v>
      </c>
      <c r="H259" s="3">
        <v>5038361.97</v>
      </c>
      <c r="I259" s="3">
        <v>0</v>
      </c>
      <c r="J259" s="3">
        <v>5038361.97</v>
      </c>
      <c r="K259" s="3">
        <v>0</v>
      </c>
      <c r="L259" s="3">
        <v>4700000</v>
      </c>
      <c r="M259" s="3">
        <v>0</v>
      </c>
      <c r="N259" s="3">
        <v>1290872.46</v>
      </c>
      <c r="O259" s="3">
        <v>1290872.46</v>
      </c>
      <c r="P259" s="3">
        <v>3409127.54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9738361.9700000007</v>
      </c>
      <c r="AG259" s="3">
        <v>5038361.97</v>
      </c>
      <c r="AH259" s="3">
        <v>1290872.46</v>
      </c>
      <c r="AI259" s="3">
        <v>6329234.4299999997</v>
      </c>
      <c r="AJ259" s="3">
        <v>3409127.54</v>
      </c>
      <c r="AK259" s="2" t="s">
        <v>778</v>
      </c>
      <c r="AL259" s="2" t="s">
        <v>779</v>
      </c>
      <c r="AM259" s="3">
        <f>VLOOKUP(AL259,Table1[],2,FALSE)</f>
        <v>0</v>
      </c>
      <c r="AN259" s="3">
        <f>VLOOKUP(AL259,Table1[],3,FALSE)</f>
        <v>0</v>
      </c>
      <c r="AO259" s="3">
        <f>VLOOKUP($AL259,Table1[],4,FALSE)</f>
        <v>0</v>
      </c>
      <c r="AP259" s="3">
        <f>VLOOKUP($AL259,Table1[],5,FALSE)</f>
        <v>0</v>
      </c>
      <c r="AQ259" s="3">
        <f>VLOOKUP($AL259,Table1[],6,FALSE)</f>
        <v>0</v>
      </c>
      <c r="AR259" s="3">
        <f>VLOOKUP($AL259,Table1[],7,FALSE)</f>
        <v>0</v>
      </c>
      <c r="AS259" s="3">
        <f>VLOOKUP($AL259,Table1[],8,FALSE)</f>
        <v>0</v>
      </c>
    </row>
    <row r="260" spans="1:45" x14ac:dyDescent="0.35">
      <c r="A260" s="2" t="s">
        <v>780</v>
      </c>
      <c r="B260" s="3">
        <v>3500000</v>
      </c>
      <c r="C260" s="3">
        <v>0</v>
      </c>
      <c r="D260" s="3">
        <v>2965514.31</v>
      </c>
      <c r="E260" s="3">
        <v>2965514.31</v>
      </c>
      <c r="F260" s="3">
        <v>534485.68999999994</v>
      </c>
      <c r="G260" s="3">
        <v>3500000</v>
      </c>
      <c r="H260" s="3">
        <v>0</v>
      </c>
      <c r="I260" s="3">
        <v>2965514.31</v>
      </c>
      <c r="J260" s="3">
        <v>2965514.31</v>
      </c>
      <c r="K260" s="3">
        <v>534485.68999999994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3500000</v>
      </c>
      <c r="AG260" s="3">
        <v>0</v>
      </c>
      <c r="AH260" s="3">
        <v>2965514.31</v>
      </c>
      <c r="AI260" s="3">
        <v>2965514.31</v>
      </c>
      <c r="AJ260" s="3">
        <v>534485.68999999994</v>
      </c>
      <c r="AK260" s="2" t="s">
        <v>781</v>
      </c>
      <c r="AL260" s="2" t="s">
        <v>782</v>
      </c>
      <c r="AM260" s="3" t="e">
        <f>VLOOKUP(AL260,Table1[],2,FALSE)</f>
        <v>#N/A</v>
      </c>
      <c r="AN260" s="3" t="e">
        <f>VLOOKUP(AL260,Table1[],3,FALSE)</f>
        <v>#N/A</v>
      </c>
      <c r="AO260" s="3" t="e">
        <f>VLOOKUP($AL260,Table1[],4,FALSE)</f>
        <v>#N/A</v>
      </c>
      <c r="AP260" s="3" t="e">
        <f>VLOOKUP($AL260,Table1[],5,FALSE)</f>
        <v>#N/A</v>
      </c>
      <c r="AQ260" s="3" t="e">
        <f>VLOOKUP($AL260,Table1[],6,FALSE)</f>
        <v>#N/A</v>
      </c>
      <c r="AR260" s="3" t="e">
        <f>VLOOKUP($AL260,Table1[],7,FALSE)</f>
        <v>#N/A</v>
      </c>
      <c r="AS260" s="3" t="e">
        <f>VLOOKUP($AL260,Table1[],8,FALSE)</f>
        <v>#N/A</v>
      </c>
    </row>
    <row r="261" spans="1:45" x14ac:dyDescent="0.35">
      <c r="A261" s="2" t="s">
        <v>783</v>
      </c>
      <c r="B261" s="3">
        <v>1258000</v>
      </c>
      <c r="C261" s="3">
        <v>848341.37</v>
      </c>
      <c r="D261" s="3">
        <v>0</v>
      </c>
      <c r="E261" s="3">
        <v>848341.37</v>
      </c>
      <c r="F261" s="3">
        <v>409658.63</v>
      </c>
      <c r="G261" s="3">
        <v>1258000</v>
      </c>
      <c r="H261" s="3">
        <v>848341.37</v>
      </c>
      <c r="I261" s="3">
        <v>0</v>
      </c>
      <c r="J261" s="3">
        <v>848341.37</v>
      </c>
      <c r="K261" s="3">
        <v>409658.63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1258000</v>
      </c>
      <c r="AG261" s="3">
        <v>848341.37</v>
      </c>
      <c r="AH261" s="3">
        <v>0</v>
      </c>
      <c r="AI261" s="3">
        <v>848341.37</v>
      </c>
      <c r="AJ261" s="3">
        <v>409658.63</v>
      </c>
      <c r="AK261" s="2" t="s">
        <v>784</v>
      </c>
      <c r="AL261" s="2" t="s">
        <v>785</v>
      </c>
      <c r="AM261" s="3">
        <f>VLOOKUP(AL261,Table1[],2,FALSE)</f>
        <v>0</v>
      </c>
      <c r="AN261" s="3">
        <f>VLOOKUP(AL261,Table1[],3,FALSE)</f>
        <v>0</v>
      </c>
      <c r="AO261" s="3">
        <f>VLOOKUP($AL261,Table1[],4,FALSE)</f>
        <v>0</v>
      </c>
      <c r="AP261" s="3">
        <f>VLOOKUP($AL261,Table1[],5,FALSE)</f>
        <v>0</v>
      </c>
      <c r="AQ261" s="3">
        <f>VLOOKUP($AL261,Table1[],6,FALSE)</f>
        <v>0</v>
      </c>
      <c r="AR261" s="3">
        <f>VLOOKUP($AL261,Table1[],7,FALSE)</f>
        <v>0</v>
      </c>
      <c r="AS261" s="3">
        <f>VLOOKUP($AL261,Table1[],8,FALSE)</f>
        <v>0</v>
      </c>
    </row>
    <row r="262" spans="1:45" x14ac:dyDescent="0.35">
      <c r="A262" s="2" t="s">
        <v>786</v>
      </c>
      <c r="B262" s="3">
        <v>4231000</v>
      </c>
      <c r="C262" s="3">
        <v>3545623.62</v>
      </c>
      <c r="D262" s="3">
        <v>2166.64</v>
      </c>
      <c r="E262" s="3">
        <v>3547790.26</v>
      </c>
      <c r="F262" s="3">
        <v>683209.74</v>
      </c>
      <c r="G262" s="3">
        <v>4231000</v>
      </c>
      <c r="H262" s="3">
        <v>3547790.71</v>
      </c>
      <c r="I262" s="3">
        <v>2166.64</v>
      </c>
      <c r="J262" s="3">
        <v>3549957.35</v>
      </c>
      <c r="K262" s="3">
        <v>681042.65</v>
      </c>
      <c r="L262" s="3">
        <v>0</v>
      </c>
      <c r="M262" s="3">
        <v>-2167.09</v>
      </c>
      <c r="N262" s="3">
        <v>0</v>
      </c>
      <c r="O262" s="3">
        <v>-2167.09</v>
      </c>
      <c r="P262" s="3">
        <v>2167.09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4231000</v>
      </c>
      <c r="AG262" s="3">
        <v>3545623.62</v>
      </c>
      <c r="AH262" s="3">
        <v>2166.64</v>
      </c>
      <c r="AI262" s="3">
        <v>3547790.26</v>
      </c>
      <c r="AJ262" s="3">
        <v>683209.74</v>
      </c>
      <c r="AK262" s="2" t="s">
        <v>787</v>
      </c>
      <c r="AL262" s="2" t="s">
        <v>788</v>
      </c>
      <c r="AM262" s="3">
        <f>VLOOKUP(AL262,Table1[],2,FALSE)</f>
        <v>0</v>
      </c>
      <c r="AN262" s="3">
        <f>VLOOKUP(AL262,Table1[],3,FALSE)</f>
        <v>0</v>
      </c>
      <c r="AO262" s="3">
        <f>VLOOKUP($AL262,Table1[],4,FALSE)</f>
        <v>0</v>
      </c>
      <c r="AP262" s="3">
        <f>VLOOKUP($AL262,Table1[],5,FALSE)</f>
        <v>0</v>
      </c>
      <c r="AQ262" s="3">
        <f>VLOOKUP($AL262,Table1[],6,FALSE)</f>
        <v>0</v>
      </c>
      <c r="AR262" s="3">
        <f>VLOOKUP($AL262,Table1[],7,FALSE)</f>
        <v>0</v>
      </c>
      <c r="AS262" s="3">
        <f>VLOOKUP($AL262,Table1[],8,FALSE)</f>
        <v>0</v>
      </c>
    </row>
    <row r="263" spans="1:45" x14ac:dyDescent="0.35">
      <c r="A263" s="2" t="s">
        <v>789</v>
      </c>
      <c r="B263" s="3">
        <v>3000000</v>
      </c>
      <c r="C263" s="3">
        <v>0</v>
      </c>
      <c r="D263" s="3">
        <v>0</v>
      </c>
      <c r="E263" s="3">
        <v>0</v>
      </c>
      <c r="F263" s="3">
        <v>3000000</v>
      </c>
      <c r="G263" s="3">
        <v>3000000</v>
      </c>
      <c r="H263" s="3">
        <v>0</v>
      </c>
      <c r="I263" s="3">
        <v>0</v>
      </c>
      <c r="J263" s="3">
        <v>0</v>
      </c>
      <c r="K263" s="3">
        <v>3000000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3000000</v>
      </c>
      <c r="AG263" s="3">
        <v>0</v>
      </c>
      <c r="AH263" s="3">
        <v>0</v>
      </c>
      <c r="AI263" s="3">
        <v>0</v>
      </c>
      <c r="AJ263" s="3">
        <v>3000000</v>
      </c>
      <c r="AK263" s="2" t="s">
        <v>790</v>
      </c>
      <c r="AL263" s="2" t="s">
        <v>791</v>
      </c>
      <c r="AM263" s="3" t="e">
        <f>VLOOKUP(AL263,Table1[],2,FALSE)</f>
        <v>#N/A</v>
      </c>
      <c r="AN263" s="3" t="e">
        <f>VLOOKUP(AL263,Table1[],3,FALSE)</f>
        <v>#N/A</v>
      </c>
      <c r="AO263" s="3" t="e">
        <f>VLOOKUP($AL263,Table1[],4,FALSE)</f>
        <v>#N/A</v>
      </c>
      <c r="AP263" s="3" t="e">
        <f>VLOOKUP($AL263,Table1[],5,FALSE)</f>
        <v>#N/A</v>
      </c>
      <c r="AQ263" s="3" t="e">
        <f>VLOOKUP($AL263,Table1[],6,FALSE)</f>
        <v>#N/A</v>
      </c>
      <c r="AR263" s="3" t="e">
        <f>VLOOKUP($AL263,Table1[],7,FALSE)</f>
        <v>#N/A</v>
      </c>
      <c r="AS263" s="3" t="e">
        <f>VLOOKUP($AL263,Table1[],8,FALSE)</f>
        <v>#N/A</v>
      </c>
    </row>
    <row r="264" spans="1:45" x14ac:dyDescent="0.35">
      <c r="A264" s="2" t="s">
        <v>792</v>
      </c>
      <c r="B264" s="3">
        <v>4064000</v>
      </c>
      <c r="C264" s="3">
        <v>4059370.63</v>
      </c>
      <c r="D264" s="3">
        <v>0</v>
      </c>
      <c r="E264" s="3">
        <v>4059370.63</v>
      </c>
      <c r="F264" s="3">
        <v>4629.37</v>
      </c>
      <c r="G264" s="3">
        <v>4064000</v>
      </c>
      <c r="H264" s="3">
        <v>4059370.63</v>
      </c>
      <c r="I264" s="3">
        <v>0</v>
      </c>
      <c r="J264" s="3">
        <v>4059370.63</v>
      </c>
      <c r="K264" s="3">
        <v>4629.37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4064000</v>
      </c>
      <c r="AG264" s="3">
        <v>4059370.63</v>
      </c>
      <c r="AH264" s="3">
        <v>0</v>
      </c>
      <c r="AI264" s="3">
        <v>4059370.63</v>
      </c>
      <c r="AJ264" s="3">
        <v>4629.37</v>
      </c>
      <c r="AK264" s="2" t="s">
        <v>793</v>
      </c>
      <c r="AL264" s="2" t="s">
        <v>794</v>
      </c>
      <c r="AM264" s="3">
        <f>VLOOKUP(AL264,Table1[],2,FALSE)</f>
        <v>0</v>
      </c>
      <c r="AN264" s="3">
        <f>VLOOKUP(AL264,Table1[],3,FALSE)</f>
        <v>0</v>
      </c>
      <c r="AO264" s="3">
        <f>VLOOKUP($AL264,Table1[],4,FALSE)</f>
        <v>0</v>
      </c>
      <c r="AP264" s="3">
        <f>VLOOKUP($AL264,Table1[],5,FALSE)</f>
        <v>0</v>
      </c>
      <c r="AQ264" s="3">
        <f>VLOOKUP($AL264,Table1[],6,FALSE)</f>
        <v>0</v>
      </c>
      <c r="AR264" s="3">
        <f>VLOOKUP($AL264,Table1[],7,FALSE)</f>
        <v>0</v>
      </c>
      <c r="AS264" s="3">
        <f>VLOOKUP($AL264,Table1[],8,FALSE)</f>
        <v>0</v>
      </c>
    </row>
    <row r="265" spans="1:45" x14ac:dyDescent="0.35">
      <c r="A265" s="2" t="s">
        <v>795</v>
      </c>
      <c r="B265" s="3">
        <v>4669000</v>
      </c>
      <c r="C265" s="3">
        <v>3167766</v>
      </c>
      <c r="D265" s="3">
        <v>831062.66</v>
      </c>
      <c r="E265" s="3">
        <v>3998828.66</v>
      </c>
      <c r="F265" s="3">
        <v>670171.34</v>
      </c>
      <c r="G265" s="3">
        <v>4669000</v>
      </c>
      <c r="H265" s="3">
        <v>3167766</v>
      </c>
      <c r="I265" s="3">
        <v>831062.66</v>
      </c>
      <c r="J265" s="3">
        <v>3998828.66</v>
      </c>
      <c r="K265" s="3">
        <v>670171.34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4669000</v>
      </c>
      <c r="AG265" s="3">
        <v>3167766</v>
      </c>
      <c r="AH265" s="3">
        <v>831062.66</v>
      </c>
      <c r="AI265" s="3">
        <v>3998828.66</v>
      </c>
      <c r="AJ265" s="3">
        <v>670171.34</v>
      </c>
      <c r="AK265" s="2" t="s">
        <v>796</v>
      </c>
      <c r="AL265" s="2" t="s">
        <v>797</v>
      </c>
      <c r="AM265" s="3">
        <f>VLOOKUP(AL265,Table1[],2,FALSE)</f>
        <v>0</v>
      </c>
      <c r="AN265" s="3">
        <f>VLOOKUP(AL265,Table1[],3,FALSE)</f>
        <v>0</v>
      </c>
      <c r="AO265" s="3">
        <f>VLOOKUP($AL265,Table1[],4,FALSE)</f>
        <v>0</v>
      </c>
      <c r="AP265" s="3">
        <f>VLOOKUP($AL265,Table1[],5,FALSE)</f>
        <v>0</v>
      </c>
      <c r="AQ265" s="3">
        <f>VLOOKUP($AL265,Table1[],6,FALSE)</f>
        <v>0</v>
      </c>
      <c r="AR265" s="3">
        <f>VLOOKUP($AL265,Table1[],7,FALSE)</f>
        <v>0</v>
      </c>
      <c r="AS265" s="3">
        <f>VLOOKUP($AL265,Table1[],8,FALSE)</f>
        <v>0</v>
      </c>
    </row>
    <row r="266" spans="1:45" x14ac:dyDescent="0.35">
      <c r="A266" s="2" t="s">
        <v>798</v>
      </c>
      <c r="B266" s="3">
        <v>1000000</v>
      </c>
      <c r="C266" s="3">
        <v>0</v>
      </c>
      <c r="D266" s="3">
        <v>0</v>
      </c>
      <c r="E266" s="3">
        <v>0</v>
      </c>
      <c r="F266" s="3">
        <v>1000000</v>
      </c>
      <c r="G266" s="3">
        <v>1000000</v>
      </c>
      <c r="H266" s="3">
        <v>0</v>
      </c>
      <c r="I266" s="3">
        <v>0</v>
      </c>
      <c r="J266" s="3">
        <v>0</v>
      </c>
      <c r="K266" s="3">
        <v>1000000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1000000</v>
      </c>
      <c r="AG266" s="3">
        <v>0</v>
      </c>
      <c r="AH266" s="3">
        <v>0</v>
      </c>
      <c r="AI266" s="3">
        <v>0</v>
      </c>
      <c r="AJ266" s="3">
        <v>1000000</v>
      </c>
      <c r="AK266" s="2" t="s">
        <v>624</v>
      </c>
      <c r="AL266" s="2" t="s">
        <v>799</v>
      </c>
      <c r="AM266" s="3" t="e">
        <f>VLOOKUP(AL266,Table1[],2,FALSE)</f>
        <v>#N/A</v>
      </c>
      <c r="AN266" s="3" t="e">
        <f>VLOOKUP(AL266,Table1[],3,FALSE)</f>
        <v>#N/A</v>
      </c>
      <c r="AO266" s="3" t="e">
        <f>VLOOKUP($AL266,Table1[],4,FALSE)</f>
        <v>#N/A</v>
      </c>
      <c r="AP266" s="3" t="e">
        <f>VLOOKUP($AL266,Table1[],5,FALSE)</f>
        <v>#N/A</v>
      </c>
      <c r="AQ266" s="3" t="e">
        <f>VLOOKUP($AL266,Table1[],6,FALSE)</f>
        <v>#N/A</v>
      </c>
      <c r="AR266" s="3" t="e">
        <f>VLOOKUP($AL266,Table1[],7,FALSE)</f>
        <v>#N/A</v>
      </c>
      <c r="AS266" s="3" t="e">
        <f>VLOOKUP($AL266,Table1[],8,FALSE)</f>
        <v>#N/A</v>
      </c>
    </row>
    <row r="267" spans="1:45" x14ac:dyDescent="0.35">
      <c r="A267" s="2" t="s">
        <v>800</v>
      </c>
      <c r="B267" s="3">
        <v>500000</v>
      </c>
      <c r="C267" s="3">
        <v>408848.96</v>
      </c>
      <c r="D267" s="3">
        <v>791.26</v>
      </c>
      <c r="E267" s="3">
        <v>409640.22</v>
      </c>
      <c r="F267" s="3">
        <v>90359.78</v>
      </c>
      <c r="G267" s="3">
        <v>500000</v>
      </c>
      <c r="H267" s="3">
        <v>408848.96</v>
      </c>
      <c r="I267" s="3">
        <v>791.26</v>
      </c>
      <c r="J267" s="3">
        <v>409640.22</v>
      </c>
      <c r="K267" s="3">
        <v>90359.78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500000</v>
      </c>
      <c r="AG267" s="3">
        <v>408848.96</v>
      </c>
      <c r="AH267" s="3">
        <v>791.26</v>
      </c>
      <c r="AI267" s="3">
        <v>409640.22</v>
      </c>
      <c r="AJ267" s="3">
        <v>90359.78</v>
      </c>
      <c r="AK267" s="2" t="s">
        <v>801</v>
      </c>
      <c r="AL267" s="2" t="s">
        <v>802</v>
      </c>
      <c r="AM267" s="3">
        <f>VLOOKUP(AL267,Table1[],2,FALSE)</f>
        <v>0</v>
      </c>
      <c r="AN267" s="3">
        <f>VLOOKUP(AL267,Table1[],3,FALSE)</f>
        <v>0</v>
      </c>
      <c r="AO267" s="3">
        <f>VLOOKUP($AL267,Table1[],4,FALSE)</f>
        <v>0</v>
      </c>
      <c r="AP267" s="3">
        <f>VLOOKUP($AL267,Table1[],5,FALSE)</f>
        <v>0</v>
      </c>
      <c r="AQ267" s="3">
        <f>VLOOKUP($AL267,Table1[],6,FALSE)</f>
        <v>0</v>
      </c>
      <c r="AR267" s="3">
        <f>VLOOKUP($AL267,Table1[],7,FALSE)</f>
        <v>0</v>
      </c>
      <c r="AS267" s="3">
        <f>VLOOKUP($AL267,Table1[],8,FALSE)</f>
        <v>0</v>
      </c>
    </row>
    <row r="268" spans="1:45" x14ac:dyDescent="0.35">
      <c r="A268" s="2" t="s">
        <v>803</v>
      </c>
      <c r="B268" s="3">
        <v>1887000</v>
      </c>
      <c r="C268" s="3">
        <v>1557481.25</v>
      </c>
      <c r="D268" s="3">
        <v>42783.39</v>
      </c>
      <c r="E268" s="3">
        <v>1600264.64</v>
      </c>
      <c r="F268" s="3">
        <v>286735.35999999999</v>
      </c>
      <c r="G268" s="3">
        <v>1887000</v>
      </c>
      <c r="H268" s="3">
        <v>1562683.41</v>
      </c>
      <c r="I268" s="3">
        <v>42783.39</v>
      </c>
      <c r="J268" s="3">
        <v>1605466.8</v>
      </c>
      <c r="K268" s="3">
        <v>281533.2</v>
      </c>
      <c r="L268" s="3">
        <v>0</v>
      </c>
      <c r="M268" s="3">
        <v>-5202.16</v>
      </c>
      <c r="N268" s="3">
        <v>0</v>
      </c>
      <c r="O268" s="3">
        <v>-5202.16</v>
      </c>
      <c r="P268" s="3">
        <v>5202.16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1887000</v>
      </c>
      <c r="AG268" s="3">
        <v>1557481.25</v>
      </c>
      <c r="AH268" s="3">
        <v>42783.39</v>
      </c>
      <c r="AI268" s="3">
        <v>1600264.64</v>
      </c>
      <c r="AJ268" s="3">
        <v>286735.35999999999</v>
      </c>
      <c r="AK268" s="2" t="s">
        <v>804</v>
      </c>
      <c r="AL268" s="2" t="s">
        <v>805</v>
      </c>
      <c r="AM268" s="3">
        <f>VLOOKUP(AL268,Table1[],2,FALSE)</f>
        <v>0</v>
      </c>
      <c r="AN268" s="3">
        <f>VLOOKUP(AL268,Table1[],3,FALSE)</f>
        <v>0</v>
      </c>
      <c r="AO268" s="3">
        <f>VLOOKUP($AL268,Table1[],4,FALSE)</f>
        <v>0</v>
      </c>
      <c r="AP268" s="3">
        <f>VLOOKUP($AL268,Table1[],5,FALSE)</f>
        <v>0</v>
      </c>
      <c r="AQ268" s="3">
        <f>VLOOKUP($AL268,Table1[],6,FALSE)</f>
        <v>0</v>
      </c>
      <c r="AR268" s="3">
        <f>VLOOKUP($AL268,Table1[],7,FALSE)</f>
        <v>0</v>
      </c>
      <c r="AS268" s="3">
        <f>VLOOKUP($AL268,Table1[],8,FALSE)</f>
        <v>0</v>
      </c>
    </row>
    <row r="269" spans="1:45" x14ac:dyDescent="0.35">
      <c r="A269" s="2" t="s">
        <v>806</v>
      </c>
      <c r="B269" s="3">
        <v>6308633.1500000004</v>
      </c>
      <c r="C269" s="3">
        <v>5192884.62</v>
      </c>
      <c r="D269" s="3">
        <v>1045741.99</v>
      </c>
      <c r="E269" s="3">
        <v>6238626.6100000003</v>
      </c>
      <c r="F269" s="3">
        <v>70006.539999999994</v>
      </c>
      <c r="G269" s="3">
        <v>1008633.15</v>
      </c>
      <c r="H269" s="3">
        <v>1008633.15</v>
      </c>
      <c r="I269" s="3">
        <v>0</v>
      </c>
      <c r="J269" s="3">
        <v>1008633.15</v>
      </c>
      <c r="K269" s="3">
        <v>0</v>
      </c>
      <c r="L269" s="3">
        <v>5300000</v>
      </c>
      <c r="M269" s="3">
        <v>4184251.47</v>
      </c>
      <c r="N269" s="3">
        <v>1045741.99</v>
      </c>
      <c r="O269" s="3">
        <v>5229993.46</v>
      </c>
      <c r="P269" s="3">
        <v>70006.539999999994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6308633.1500000004</v>
      </c>
      <c r="AG269" s="3">
        <v>5192884.62</v>
      </c>
      <c r="AH269" s="3">
        <v>1045741.99</v>
      </c>
      <c r="AI269" s="3">
        <v>6238626.6100000003</v>
      </c>
      <c r="AJ269" s="3">
        <v>70006.539999999994</v>
      </c>
      <c r="AK269" s="2" t="s">
        <v>807</v>
      </c>
      <c r="AL269" s="2" t="s">
        <v>808</v>
      </c>
      <c r="AM269" s="3">
        <f>VLOOKUP(AL269,Table1[],2,FALSE)</f>
        <v>0</v>
      </c>
      <c r="AN269" s="3">
        <f>VLOOKUP(AL269,Table1[],3,FALSE)</f>
        <v>0</v>
      </c>
      <c r="AO269" s="3">
        <f>VLOOKUP($AL269,Table1[],4,FALSE)</f>
        <v>0</v>
      </c>
      <c r="AP269" s="3">
        <f>VLOOKUP($AL269,Table1[],5,FALSE)</f>
        <v>0</v>
      </c>
      <c r="AQ269" s="3">
        <f>VLOOKUP($AL269,Table1[],6,FALSE)</f>
        <v>0</v>
      </c>
      <c r="AR269" s="3">
        <f>VLOOKUP($AL269,Table1[],7,FALSE)</f>
        <v>0</v>
      </c>
      <c r="AS269" s="3">
        <f>VLOOKUP($AL269,Table1[],8,FALSE)</f>
        <v>0</v>
      </c>
    </row>
    <row r="270" spans="1:45" x14ac:dyDescent="0.35">
      <c r="A270" s="2" t="s">
        <v>809</v>
      </c>
      <c r="B270" s="3">
        <v>10192938.99</v>
      </c>
      <c r="C270" s="3">
        <v>10129933.58</v>
      </c>
      <c r="D270" s="3">
        <v>0</v>
      </c>
      <c r="E270" s="3">
        <v>10129933.58</v>
      </c>
      <c r="F270" s="3">
        <v>63005.41</v>
      </c>
      <c r="G270" s="3">
        <v>9842938.9900000002</v>
      </c>
      <c r="H270" s="3">
        <v>9842938.9900000002</v>
      </c>
      <c r="I270" s="3">
        <v>0</v>
      </c>
      <c r="J270" s="3">
        <v>9842938.9900000002</v>
      </c>
      <c r="K270" s="3">
        <v>0</v>
      </c>
      <c r="L270" s="3">
        <v>350000</v>
      </c>
      <c r="M270" s="3">
        <v>286994.59000000003</v>
      </c>
      <c r="N270" s="3">
        <v>0</v>
      </c>
      <c r="O270" s="3">
        <v>286994.59000000003</v>
      </c>
      <c r="P270" s="3">
        <v>63005.41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10192938.99</v>
      </c>
      <c r="AG270" s="3">
        <v>10129933.58</v>
      </c>
      <c r="AH270" s="3">
        <v>0</v>
      </c>
      <c r="AI270" s="3">
        <v>10129933.58</v>
      </c>
      <c r="AJ270" s="3">
        <v>63005.41</v>
      </c>
      <c r="AK270" s="2" t="s">
        <v>810</v>
      </c>
      <c r="AL270" s="2" t="s">
        <v>811</v>
      </c>
      <c r="AM270" s="3">
        <f>VLOOKUP(AL270,Table1[],2,FALSE)</f>
        <v>0</v>
      </c>
      <c r="AN270" s="3">
        <f>VLOOKUP(AL270,Table1[],3,FALSE)</f>
        <v>0</v>
      </c>
      <c r="AO270" s="3">
        <f>VLOOKUP($AL270,Table1[],4,FALSE)</f>
        <v>0</v>
      </c>
      <c r="AP270" s="3">
        <f>VLOOKUP($AL270,Table1[],5,FALSE)</f>
        <v>0</v>
      </c>
      <c r="AQ270" s="3">
        <f>VLOOKUP($AL270,Table1[],6,FALSE)</f>
        <v>0</v>
      </c>
      <c r="AR270" s="3">
        <f>VLOOKUP($AL270,Table1[],7,FALSE)</f>
        <v>0</v>
      </c>
      <c r="AS270" s="3">
        <f>VLOOKUP($AL270,Table1[],8,FALSE)</f>
        <v>0</v>
      </c>
    </row>
    <row r="271" spans="1:45" x14ac:dyDescent="0.35">
      <c r="A271" s="2" t="s">
        <v>812</v>
      </c>
      <c r="B271" s="3">
        <v>5787293.2599999998</v>
      </c>
      <c r="C271" s="3">
        <v>1181482.1000000001</v>
      </c>
      <c r="D271" s="3">
        <v>3110871.38</v>
      </c>
      <c r="E271" s="3">
        <v>4292353.4800000004</v>
      </c>
      <c r="F271" s="3">
        <v>1494939.78</v>
      </c>
      <c r="G271" s="3">
        <v>87293.26</v>
      </c>
      <c r="H271" s="3">
        <v>87293.26</v>
      </c>
      <c r="I271" s="3">
        <v>0</v>
      </c>
      <c r="J271" s="3">
        <v>87293.26</v>
      </c>
      <c r="K271" s="3">
        <v>0</v>
      </c>
      <c r="L271" s="3">
        <v>5700000</v>
      </c>
      <c r="M271" s="3">
        <v>1094188.8400000001</v>
      </c>
      <c r="N271" s="3">
        <v>3110871.38</v>
      </c>
      <c r="O271" s="3">
        <v>4205060.22</v>
      </c>
      <c r="P271" s="3">
        <v>1494939.78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5787293.2599999998</v>
      </c>
      <c r="AG271" s="3">
        <v>1181482.1000000001</v>
      </c>
      <c r="AH271" s="3">
        <v>3110871.38</v>
      </c>
      <c r="AI271" s="3">
        <v>4292353.4800000004</v>
      </c>
      <c r="AJ271" s="3">
        <v>1494939.78</v>
      </c>
      <c r="AK271" s="2" t="s">
        <v>813</v>
      </c>
      <c r="AL271" s="2" t="s">
        <v>814</v>
      </c>
      <c r="AM271" s="3">
        <f>VLOOKUP(AL271,Table1[],2,FALSE)</f>
        <v>0</v>
      </c>
      <c r="AN271" s="3">
        <f>VLOOKUP(AL271,Table1[],3,FALSE)</f>
        <v>0</v>
      </c>
      <c r="AO271" s="3">
        <f>VLOOKUP($AL271,Table1[],4,FALSE)</f>
        <v>0</v>
      </c>
      <c r="AP271" s="3">
        <f>VLOOKUP($AL271,Table1[],5,FALSE)</f>
        <v>0</v>
      </c>
      <c r="AQ271" s="3">
        <f>VLOOKUP($AL271,Table1[],6,FALSE)</f>
        <v>0</v>
      </c>
      <c r="AR271" s="3">
        <f>VLOOKUP($AL271,Table1[],7,FALSE)</f>
        <v>0</v>
      </c>
      <c r="AS271" s="3">
        <f>VLOOKUP($AL271,Table1[],8,FALSE)</f>
        <v>0</v>
      </c>
    </row>
    <row r="272" spans="1:45" x14ac:dyDescent="0.35">
      <c r="A272" s="2" t="s">
        <v>815</v>
      </c>
      <c r="B272" s="3">
        <v>4500000</v>
      </c>
      <c r="C272" s="3">
        <v>0</v>
      </c>
      <c r="D272" s="3">
        <v>0</v>
      </c>
      <c r="E272" s="3">
        <v>0</v>
      </c>
      <c r="F272" s="3">
        <v>4500000</v>
      </c>
      <c r="G272" s="3">
        <v>4500000</v>
      </c>
      <c r="H272" s="3">
        <v>0</v>
      </c>
      <c r="I272" s="3">
        <v>0</v>
      </c>
      <c r="J272" s="3">
        <v>0</v>
      </c>
      <c r="K272" s="3">
        <v>4500000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4500000</v>
      </c>
      <c r="AG272" s="3">
        <v>0</v>
      </c>
      <c r="AH272" s="3">
        <v>0</v>
      </c>
      <c r="AI272" s="3">
        <v>0</v>
      </c>
      <c r="AJ272" s="3">
        <v>4500000</v>
      </c>
      <c r="AK272" s="2" t="s">
        <v>816</v>
      </c>
      <c r="AL272" s="2" t="s">
        <v>817</v>
      </c>
      <c r="AM272" s="3" t="e">
        <f>VLOOKUP(AL272,Table1[],2,FALSE)</f>
        <v>#N/A</v>
      </c>
      <c r="AN272" s="3" t="e">
        <f>VLOOKUP(AL272,Table1[],3,FALSE)</f>
        <v>#N/A</v>
      </c>
      <c r="AO272" s="3" t="e">
        <f>VLOOKUP($AL272,Table1[],4,FALSE)</f>
        <v>#N/A</v>
      </c>
      <c r="AP272" s="3" t="e">
        <f>VLOOKUP($AL272,Table1[],5,FALSE)</f>
        <v>#N/A</v>
      </c>
      <c r="AQ272" s="3" t="e">
        <f>VLOOKUP($AL272,Table1[],6,FALSE)</f>
        <v>#N/A</v>
      </c>
      <c r="AR272" s="3" t="e">
        <f>VLOOKUP($AL272,Table1[],7,FALSE)</f>
        <v>#N/A</v>
      </c>
      <c r="AS272" s="3" t="e">
        <f>VLOOKUP($AL272,Table1[],8,FALSE)</f>
        <v>#N/A</v>
      </c>
    </row>
    <row r="273" spans="1:45" x14ac:dyDescent="0.35">
      <c r="A273" s="2" t="s">
        <v>818</v>
      </c>
      <c r="B273" s="3">
        <v>8700000</v>
      </c>
      <c r="C273" s="3">
        <v>7830000</v>
      </c>
      <c r="D273" s="3">
        <v>870000</v>
      </c>
      <c r="E273" s="3">
        <v>8700000</v>
      </c>
      <c r="F273" s="3">
        <v>0</v>
      </c>
      <c r="G273" s="3">
        <v>7830000</v>
      </c>
      <c r="H273" s="3">
        <v>7830000</v>
      </c>
      <c r="I273" s="3">
        <v>0</v>
      </c>
      <c r="J273" s="3">
        <v>7830000</v>
      </c>
      <c r="K273" s="3">
        <v>0</v>
      </c>
      <c r="L273" s="3">
        <v>870000</v>
      </c>
      <c r="M273" s="3">
        <v>0</v>
      </c>
      <c r="N273" s="3">
        <v>870000</v>
      </c>
      <c r="O273" s="3">
        <v>870000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8700000</v>
      </c>
      <c r="AG273" s="3">
        <v>7830000</v>
      </c>
      <c r="AH273" s="3">
        <v>870000</v>
      </c>
      <c r="AI273" s="3">
        <v>8700000</v>
      </c>
      <c r="AJ273" s="3">
        <v>0</v>
      </c>
      <c r="AK273" s="2" t="s">
        <v>819</v>
      </c>
      <c r="AL273" s="2" t="s">
        <v>820</v>
      </c>
      <c r="AM273" s="3">
        <f>VLOOKUP(AL273,Table1[],2,FALSE)</f>
        <v>0</v>
      </c>
      <c r="AN273" s="3">
        <f>VLOOKUP(AL273,Table1[],3,FALSE)</f>
        <v>0</v>
      </c>
      <c r="AO273" s="3">
        <f>VLOOKUP($AL273,Table1[],4,FALSE)</f>
        <v>0</v>
      </c>
      <c r="AP273" s="3">
        <f>VLOOKUP($AL273,Table1[],5,FALSE)</f>
        <v>0</v>
      </c>
      <c r="AQ273" s="3">
        <f>VLOOKUP($AL273,Table1[],6,FALSE)</f>
        <v>0</v>
      </c>
      <c r="AR273" s="3">
        <f>VLOOKUP($AL273,Table1[],7,FALSE)</f>
        <v>0</v>
      </c>
      <c r="AS273" s="3">
        <f>VLOOKUP($AL273,Table1[],8,FALSE)</f>
        <v>0</v>
      </c>
    </row>
    <row r="274" spans="1:45" x14ac:dyDescent="0.35">
      <c r="A274" s="2" t="s">
        <v>821</v>
      </c>
      <c r="B274" s="3">
        <v>700000</v>
      </c>
      <c r="C274" s="3">
        <v>538209.39</v>
      </c>
      <c r="D274" s="3">
        <v>0</v>
      </c>
      <c r="E274" s="3">
        <v>538209.39</v>
      </c>
      <c r="F274" s="3">
        <v>161790.60999999999</v>
      </c>
      <c r="G274" s="3">
        <v>700000</v>
      </c>
      <c r="H274" s="3">
        <v>538209.39</v>
      </c>
      <c r="I274" s="3">
        <v>0</v>
      </c>
      <c r="J274" s="3">
        <v>538209.39</v>
      </c>
      <c r="K274" s="3">
        <v>161790.60999999999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700000</v>
      </c>
      <c r="AG274" s="3">
        <v>538209.39</v>
      </c>
      <c r="AH274" s="3">
        <v>0</v>
      </c>
      <c r="AI274" s="3">
        <v>538209.39</v>
      </c>
      <c r="AJ274" s="3">
        <v>161790.60999999999</v>
      </c>
      <c r="AK274" s="2" t="s">
        <v>822</v>
      </c>
      <c r="AL274" s="2" t="s">
        <v>823</v>
      </c>
      <c r="AM274" s="3">
        <f>VLOOKUP(AL274,Table1[],2,FALSE)</f>
        <v>0</v>
      </c>
      <c r="AN274" s="3">
        <f>VLOOKUP(AL274,Table1[],3,FALSE)</f>
        <v>0</v>
      </c>
      <c r="AO274" s="3">
        <f>VLOOKUP($AL274,Table1[],4,FALSE)</f>
        <v>0</v>
      </c>
      <c r="AP274" s="3">
        <f>VLOOKUP($AL274,Table1[],5,FALSE)</f>
        <v>0</v>
      </c>
      <c r="AQ274" s="3">
        <f>VLOOKUP($AL274,Table1[],6,FALSE)</f>
        <v>0</v>
      </c>
      <c r="AR274" s="3">
        <f>VLOOKUP($AL274,Table1[],7,FALSE)</f>
        <v>0</v>
      </c>
      <c r="AS274" s="3">
        <f>VLOOKUP($AL274,Table1[],8,FALSE)</f>
        <v>0</v>
      </c>
    </row>
    <row r="275" spans="1:45" x14ac:dyDescent="0.35">
      <c r="A275" s="2" t="s">
        <v>824</v>
      </c>
      <c r="B275" s="3">
        <v>400000</v>
      </c>
      <c r="C275" s="3">
        <v>377929.74</v>
      </c>
      <c r="D275" s="3">
        <v>0</v>
      </c>
      <c r="E275" s="3">
        <v>377929.74</v>
      </c>
      <c r="F275" s="3">
        <v>22070.26</v>
      </c>
      <c r="G275" s="3">
        <v>400000</v>
      </c>
      <c r="H275" s="3">
        <v>377929.74</v>
      </c>
      <c r="I275" s="3">
        <v>0</v>
      </c>
      <c r="J275" s="3">
        <v>377929.74</v>
      </c>
      <c r="K275" s="3">
        <v>22070.26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400000</v>
      </c>
      <c r="AG275" s="3">
        <v>377929.74</v>
      </c>
      <c r="AH275" s="3">
        <v>0</v>
      </c>
      <c r="AI275" s="3">
        <v>377929.74</v>
      </c>
      <c r="AJ275" s="3">
        <v>22070.26</v>
      </c>
      <c r="AK275" s="2" t="s">
        <v>825</v>
      </c>
      <c r="AL275" s="2" t="s">
        <v>826</v>
      </c>
      <c r="AM275" s="3">
        <f>VLOOKUP(AL275,Table1[],2,FALSE)</f>
        <v>0</v>
      </c>
      <c r="AN275" s="3">
        <f>VLOOKUP(AL275,Table1[],3,FALSE)</f>
        <v>0</v>
      </c>
      <c r="AO275" s="3">
        <f>VLOOKUP($AL275,Table1[],4,FALSE)</f>
        <v>0</v>
      </c>
      <c r="AP275" s="3">
        <f>VLOOKUP($AL275,Table1[],5,FALSE)</f>
        <v>0</v>
      </c>
      <c r="AQ275" s="3">
        <f>VLOOKUP($AL275,Table1[],6,FALSE)</f>
        <v>0</v>
      </c>
      <c r="AR275" s="3">
        <f>VLOOKUP($AL275,Table1[],7,FALSE)</f>
        <v>0</v>
      </c>
      <c r="AS275" s="3">
        <f>VLOOKUP($AL275,Table1[],8,FALSE)</f>
        <v>0</v>
      </c>
    </row>
    <row r="276" spans="1:45" x14ac:dyDescent="0.35">
      <c r="A276" s="2" t="s">
        <v>827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2" t="s">
        <v>828</v>
      </c>
      <c r="AL276" s="2" t="s">
        <v>829</v>
      </c>
      <c r="AM276" s="3" t="e">
        <f>VLOOKUP(AL276,Table1[],2,FALSE)</f>
        <v>#N/A</v>
      </c>
      <c r="AN276" s="3" t="e">
        <f>VLOOKUP(AL276,Table1[],3,FALSE)</f>
        <v>#N/A</v>
      </c>
      <c r="AO276" s="3" t="e">
        <f>VLOOKUP($AL276,Table1[],4,FALSE)</f>
        <v>#N/A</v>
      </c>
      <c r="AP276" s="3" t="e">
        <f>VLOOKUP($AL276,Table1[],5,FALSE)</f>
        <v>#N/A</v>
      </c>
      <c r="AQ276" s="3" t="e">
        <f>VLOOKUP($AL276,Table1[],6,FALSE)</f>
        <v>#N/A</v>
      </c>
      <c r="AR276" s="3" t="e">
        <f>VLOOKUP($AL276,Table1[],7,FALSE)</f>
        <v>#N/A</v>
      </c>
      <c r="AS276" s="3" t="e">
        <f>VLOOKUP($AL276,Table1[],8,FALSE)</f>
        <v>#N/A</v>
      </c>
    </row>
    <row r="277" spans="1:45" x14ac:dyDescent="0.35">
      <c r="A277" s="2" t="s">
        <v>830</v>
      </c>
      <c r="B277" s="3">
        <v>3000000</v>
      </c>
      <c r="C277" s="3">
        <v>2939786.11</v>
      </c>
      <c r="D277" s="3">
        <v>14100.5</v>
      </c>
      <c r="E277" s="3">
        <v>2953886.61</v>
      </c>
      <c r="F277" s="3">
        <v>46113.39</v>
      </c>
      <c r="G277" s="3">
        <v>3000000</v>
      </c>
      <c r="H277" s="3">
        <v>2939786.11</v>
      </c>
      <c r="I277" s="3">
        <v>14100.5</v>
      </c>
      <c r="J277" s="3">
        <v>2953886.61</v>
      </c>
      <c r="K277" s="3">
        <v>46113.39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3000000</v>
      </c>
      <c r="AG277" s="3">
        <v>2939786.11</v>
      </c>
      <c r="AH277" s="3">
        <v>14100.5</v>
      </c>
      <c r="AI277" s="3">
        <v>2953886.61</v>
      </c>
      <c r="AJ277" s="3">
        <v>46113.39</v>
      </c>
      <c r="AK277" s="2" t="s">
        <v>831</v>
      </c>
      <c r="AL277" s="2" t="s">
        <v>832</v>
      </c>
      <c r="AM277" s="3">
        <f>VLOOKUP(AL277,Table1[],2,FALSE)</f>
        <v>0</v>
      </c>
      <c r="AN277" s="3">
        <f>VLOOKUP(AL277,Table1[],3,FALSE)</f>
        <v>0</v>
      </c>
      <c r="AO277" s="3">
        <f>VLOOKUP($AL277,Table1[],4,FALSE)</f>
        <v>0</v>
      </c>
      <c r="AP277" s="3">
        <f>VLOOKUP($AL277,Table1[],5,FALSE)</f>
        <v>0</v>
      </c>
      <c r="AQ277" s="3">
        <f>VLOOKUP($AL277,Table1[],6,FALSE)</f>
        <v>0</v>
      </c>
      <c r="AR277" s="3">
        <f>VLOOKUP($AL277,Table1[],7,FALSE)</f>
        <v>0</v>
      </c>
      <c r="AS277" s="3">
        <f>VLOOKUP($AL277,Table1[],8,FALSE)</f>
        <v>0</v>
      </c>
    </row>
    <row r="278" spans="1:45" x14ac:dyDescent="0.35">
      <c r="A278" s="2" t="s">
        <v>833</v>
      </c>
      <c r="B278" s="3">
        <v>1200000</v>
      </c>
      <c r="C278" s="3">
        <v>925927.79</v>
      </c>
      <c r="D278" s="3">
        <v>138087.54</v>
      </c>
      <c r="E278" s="3">
        <v>1064015.33</v>
      </c>
      <c r="F278" s="3">
        <v>135984.67000000001</v>
      </c>
      <c r="G278" s="3">
        <v>1200000</v>
      </c>
      <c r="H278" s="3">
        <v>925927.79</v>
      </c>
      <c r="I278" s="3">
        <v>138087.54</v>
      </c>
      <c r="J278" s="3">
        <v>1064015.33</v>
      </c>
      <c r="K278" s="3">
        <v>135984.67000000001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1200000</v>
      </c>
      <c r="AG278" s="3">
        <v>925927.79</v>
      </c>
      <c r="AH278" s="3">
        <v>138087.54</v>
      </c>
      <c r="AI278" s="3">
        <v>1064015.33</v>
      </c>
      <c r="AJ278" s="3">
        <v>135984.67000000001</v>
      </c>
      <c r="AK278" s="2" t="s">
        <v>834</v>
      </c>
      <c r="AL278" s="2" t="s">
        <v>835</v>
      </c>
      <c r="AM278" s="3">
        <f>VLOOKUP(AL278,Table1[],2,FALSE)</f>
        <v>0</v>
      </c>
      <c r="AN278" s="3">
        <f>VLOOKUP(AL278,Table1[],3,FALSE)</f>
        <v>0</v>
      </c>
      <c r="AO278" s="3">
        <f>VLOOKUP($AL278,Table1[],4,FALSE)</f>
        <v>0</v>
      </c>
      <c r="AP278" s="3">
        <f>VLOOKUP($AL278,Table1[],5,FALSE)</f>
        <v>0</v>
      </c>
      <c r="AQ278" s="3">
        <f>VLOOKUP($AL278,Table1[],6,FALSE)</f>
        <v>0</v>
      </c>
      <c r="AR278" s="3">
        <f>VLOOKUP($AL278,Table1[],7,FALSE)</f>
        <v>0</v>
      </c>
      <c r="AS278" s="3">
        <f>VLOOKUP($AL278,Table1[],8,FALSE)</f>
        <v>0</v>
      </c>
    </row>
    <row r="279" spans="1:45" x14ac:dyDescent="0.35">
      <c r="A279" s="2" t="s">
        <v>836</v>
      </c>
      <c r="B279" s="3">
        <v>490000</v>
      </c>
      <c r="C279" s="3">
        <v>277241.44</v>
      </c>
      <c r="D279" s="3">
        <v>46683.5</v>
      </c>
      <c r="E279" s="3">
        <v>323924.94</v>
      </c>
      <c r="F279" s="3">
        <v>166075.06</v>
      </c>
      <c r="G279" s="3">
        <v>490000</v>
      </c>
      <c r="H279" s="3">
        <v>277241.44</v>
      </c>
      <c r="I279" s="3">
        <v>46683.5</v>
      </c>
      <c r="J279" s="3">
        <v>323924.94</v>
      </c>
      <c r="K279" s="3">
        <v>166075.06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490000</v>
      </c>
      <c r="AG279" s="3">
        <v>277241.44</v>
      </c>
      <c r="AH279" s="3">
        <v>46683.5</v>
      </c>
      <c r="AI279" s="3">
        <v>323924.94</v>
      </c>
      <c r="AJ279" s="3">
        <v>166075.06</v>
      </c>
      <c r="AK279" s="2" t="s">
        <v>837</v>
      </c>
      <c r="AL279" s="2" t="s">
        <v>838</v>
      </c>
      <c r="AM279" s="3">
        <f>VLOOKUP(AL279,Table1[],2,FALSE)</f>
        <v>0</v>
      </c>
      <c r="AN279" s="3">
        <f>VLOOKUP(AL279,Table1[],3,FALSE)</f>
        <v>0</v>
      </c>
      <c r="AO279" s="3">
        <f>VLOOKUP($AL279,Table1[],4,FALSE)</f>
        <v>0</v>
      </c>
      <c r="AP279" s="3">
        <f>VLOOKUP($AL279,Table1[],5,FALSE)</f>
        <v>0</v>
      </c>
      <c r="AQ279" s="3">
        <f>VLOOKUP($AL279,Table1[],6,FALSE)</f>
        <v>0</v>
      </c>
      <c r="AR279" s="3">
        <f>VLOOKUP($AL279,Table1[],7,FALSE)</f>
        <v>0</v>
      </c>
      <c r="AS279" s="3">
        <f>VLOOKUP($AL279,Table1[],8,FALSE)</f>
        <v>0</v>
      </c>
    </row>
    <row r="280" spans="1:45" x14ac:dyDescent="0.35">
      <c r="A280" s="2" t="s">
        <v>839</v>
      </c>
      <c r="B280" s="3">
        <v>400000</v>
      </c>
      <c r="C280" s="3">
        <v>295612.65999999997</v>
      </c>
      <c r="D280" s="3">
        <v>50605.64</v>
      </c>
      <c r="E280" s="3">
        <v>346218.3</v>
      </c>
      <c r="F280" s="3">
        <v>53781.7</v>
      </c>
      <c r="G280" s="3">
        <v>400000</v>
      </c>
      <c r="H280" s="3">
        <v>295612.65999999997</v>
      </c>
      <c r="I280" s="3">
        <v>50605.64</v>
      </c>
      <c r="J280" s="3">
        <v>346218.3</v>
      </c>
      <c r="K280" s="3">
        <v>53781.7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400000</v>
      </c>
      <c r="AG280" s="3">
        <v>295612.65999999997</v>
      </c>
      <c r="AH280" s="3">
        <v>50605.64</v>
      </c>
      <c r="AI280" s="3">
        <v>346218.3</v>
      </c>
      <c r="AJ280" s="3">
        <v>53781.7</v>
      </c>
      <c r="AK280" s="2" t="s">
        <v>840</v>
      </c>
      <c r="AL280" s="2" t="s">
        <v>841</v>
      </c>
      <c r="AM280" s="3">
        <f>VLOOKUP(AL280,Table1[],2,FALSE)</f>
        <v>0</v>
      </c>
      <c r="AN280" s="3">
        <f>VLOOKUP(AL280,Table1[],3,FALSE)</f>
        <v>0</v>
      </c>
      <c r="AO280" s="3">
        <f>VLOOKUP($AL280,Table1[],4,FALSE)</f>
        <v>0</v>
      </c>
      <c r="AP280" s="3">
        <f>VLOOKUP($AL280,Table1[],5,FALSE)</f>
        <v>0</v>
      </c>
      <c r="AQ280" s="3">
        <f>VLOOKUP($AL280,Table1[],6,FALSE)</f>
        <v>0</v>
      </c>
      <c r="AR280" s="3">
        <f>VLOOKUP($AL280,Table1[],7,FALSE)</f>
        <v>0</v>
      </c>
      <c r="AS280" s="3">
        <f>VLOOKUP($AL280,Table1[],8,FALSE)</f>
        <v>0</v>
      </c>
    </row>
    <row r="281" spans="1:45" x14ac:dyDescent="0.35">
      <c r="A281" s="2" t="s">
        <v>842</v>
      </c>
      <c r="B281" s="3">
        <v>900000</v>
      </c>
      <c r="C281" s="3">
        <v>900000</v>
      </c>
      <c r="D281" s="3">
        <v>0</v>
      </c>
      <c r="E281" s="3">
        <v>900000</v>
      </c>
      <c r="F281" s="3">
        <v>0</v>
      </c>
      <c r="G281" s="3">
        <v>900000</v>
      </c>
      <c r="H281" s="3">
        <v>900000</v>
      </c>
      <c r="I281" s="3">
        <v>0</v>
      </c>
      <c r="J281" s="3">
        <v>900000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900000</v>
      </c>
      <c r="AG281" s="3">
        <v>900000</v>
      </c>
      <c r="AH281" s="3">
        <v>0</v>
      </c>
      <c r="AI281" s="3">
        <v>900000</v>
      </c>
      <c r="AJ281" s="3">
        <v>0</v>
      </c>
      <c r="AK281" s="2" t="s">
        <v>843</v>
      </c>
      <c r="AL281" s="2" t="s">
        <v>844</v>
      </c>
      <c r="AM281" s="3">
        <f>VLOOKUP(AL281,Table1[],2,FALSE)</f>
        <v>0</v>
      </c>
      <c r="AN281" s="3">
        <f>VLOOKUP(AL281,Table1[],3,FALSE)</f>
        <v>0</v>
      </c>
      <c r="AO281" s="3">
        <f>VLOOKUP($AL281,Table1[],4,FALSE)</f>
        <v>0</v>
      </c>
      <c r="AP281" s="3">
        <f>VLOOKUP($AL281,Table1[],5,FALSE)</f>
        <v>0</v>
      </c>
      <c r="AQ281" s="3">
        <f>VLOOKUP($AL281,Table1[],6,FALSE)</f>
        <v>0</v>
      </c>
      <c r="AR281" s="3">
        <f>VLOOKUP($AL281,Table1[],7,FALSE)</f>
        <v>0</v>
      </c>
      <c r="AS281" s="3">
        <f>VLOOKUP($AL281,Table1[],8,FALSE)</f>
        <v>0</v>
      </c>
    </row>
    <row r="282" spans="1:45" x14ac:dyDescent="0.35">
      <c r="A282" s="2" t="s">
        <v>845</v>
      </c>
      <c r="B282" s="3">
        <v>700000</v>
      </c>
      <c r="C282" s="3">
        <v>700000</v>
      </c>
      <c r="D282" s="3">
        <v>0</v>
      </c>
      <c r="E282" s="3">
        <v>700000</v>
      </c>
      <c r="F282" s="3">
        <v>0</v>
      </c>
      <c r="G282" s="3">
        <v>700000</v>
      </c>
      <c r="H282" s="3">
        <v>700000</v>
      </c>
      <c r="I282" s="3">
        <v>0</v>
      </c>
      <c r="J282" s="3">
        <v>700000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700000</v>
      </c>
      <c r="AG282" s="3">
        <v>700000</v>
      </c>
      <c r="AH282" s="3">
        <v>0</v>
      </c>
      <c r="AI282" s="3">
        <v>700000</v>
      </c>
      <c r="AJ282" s="3">
        <v>0</v>
      </c>
      <c r="AK282" s="2" t="s">
        <v>846</v>
      </c>
      <c r="AL282" s="2" t="s">
        <v>847</v>
      </c>
      <c r="AM282" s="3">
        <f>VLOOKUP(AL282,Table1[],2,FALSE)</f>
        <v>0</v>
      </c>
      <c r="AN282" s="3">
        <f>VLOOKUP(AL282,Table1[],3,FALSE)</f>
        <v>0</v>
      </c>
      <c r="AO282" s="3">
        <f>VLOOKUP($AL282,Table1[],4,FALSE)</f>
        <v>0</v>
      </c>
      <c r="AP282" s="3">
        <f>VLOOKUP($AL282,Table1[],5,FALSE)</f>
        <v>0</v>
      </c>
      <c r="AQ282" s="3">
        <f>VLOOKUP($AL282,Table1[],6,FALSE)</f>
        <v>0</v>
      </c>
      <c r="AR282" s="3">
        <f>VLOOKUP($AL282,Table1[],7,FALSE)</f>
        <v>0</v>
      </c>
      <c r="AS282" s="3">
        <f>VLOOKUP($AL282,Table1[],8,FALSE)</f>
        <v>0</v>
      </c>
    </row>
    <row r="283" spans="1:45" x14ac:dyDescent="0.35">
      <c r="A283" s="2" t="s">
        <v>848</v>
      </c>
      <c r="B283" s="3">
        <v>300000</v>
      </c>
      <c r="C283" s="3">
        <v>300000</v>
      </c>
      <c r="D283" s="3">
        <v>0</v>
      </c>
      <c r="E283" s="3">
        <v>300000</v>
      </c>
      <c r="F283" s="3">
        <v>0</v>
      </c>
      <c r="G283" s="3">
        <v>300000</v>
      </c>
      <c r="H283" s="3">
        <v>300000</v>
      </c>
      <c r="I283" s="3">
        <v>0</v>
      </c>
      <c r="J283" s="3">
        <v>300000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300000</v>
      </c>
      <c r="AG283" s="3">
        <v>300000</v>
      </c>
      <c r="AH283" s="3">
        <v>0</v>
      </c>
      <c r="AI283" s="3">
        <v>300000</v>
      </c>
      <c r="AJ283" s="3">
        <v>0</v>
      </c>
      <c r="AK283" s="2" t="s">
        <v>849</v>
      </c>
      <c r="AL283" s="2" t="s">
        <v>850</v>
      </c>
      <c r="AM283" s="3">
        <f>VLOOKUP(AL283,Table1[],2,FALSE)</f>
        <v>0</v>
      </c>
      <c r="AN283" s="3">
        <f>VLOOKUP(AL283,Table1[],3,FALSE)</f>
        <v>0</v>
      </c>
      <c r="AO283" s="3">
        <f>VLOOKUP($AL283,Table1[],4,FALSE)</f>
        <v>0</v>
      </c>
      <c r="AP283" s="3">
        <f>VLOOKUP($AL283,Table1[],5,FALSE)</f>
        <v>0</v>
      </c>
      <c r="AQ283" s="3">
        <f>VLOOKUP($AL283,Table1[],6,FALSE)</f>
        <v>0</v>
      </c>
      <c r="AR283" s="3">
        <f>VLOOKUP($AL283,Table1[],7,FALSE)</f>
        <v>0</v>
      </c>
      <c r="AS283" s="3">
        <f>VLOOKUP($AL283,Table1[],8,FALSE)</f>
        <v>0</v>
      </c>
    </row>
    <row r="284" spans="1:45" x14ac:dyDescent="0.35">
      <c r="A284" s="2" t="s">
        <v>851</v>
      </c>
      <c r="B284" s="3">
        <v>12400000</v>
      </c>
      <c r="C284" s="3">
        <v>12004224.1</v>
      </c>
      <c r="D284" s="3">
        <v>0</v>
      </c>
      <c r="E284" s="3">
        <v>12004224.1</v>
      </c>
      <c r="F284" s="3">
        <v>395775.9</v>
      </c>
      <c r="G284" s="3">
        <v>12400000</v>
      </c>
      <c r="H284" s="3">
        <v>11999071.68</v>
      </c>
      <c r="I284" s="3">
        <v>0</v>
      </c>
      <c r="J284" s="3">
        <v>11999071.68</v>
      </c>
      <c r="K284" s="3">
        <v>400928.32</v>
      </c>
      <c r="L284" s="3">
        <v>0</v>
      </c>
      <c r="M284" s="3">
        <v>5152.42</v>
      </c>
      <c r="N284" s="3">
        <v>0</v>
      </c>
      <c r="O284" s="3">
        <v>5152.42</v>
      </c>
      <c r="P284" s="3">
        <v>-5152.42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12400000</v>
      </c>
      <c r="AG284" s="3">
        <v>12004224.1</v>
      </c>
      <c r="AH284" s="3">
        <v>0</v>
      </c>
      <c r="AI284" s="3">
        <v>12004224.1</v>
      </c>
      <c r="AJ284" s="3">
        <v>395775.9</v>
      </c>
      <c r="AK284" s="2" t="s">
        <v>852</v>
      </c>
      <c r="AL284" s="2" t="s">
        <v>853</v>
      </c>
      <c r="AM284" s="3">
        <f>VLOOKUP(AL284,Table1[],2,FALSE)</f>
        <v>0</v>
      </c>
      <c r="AN284" s="3">
        <f>VLOOKUP(AL284,Table1[],3,FALSE)</f>
        <v>0</v>
      </c>
      <c r="AO284" s="3">
        <f>VLOOKUP($AL284,Table1[],4,FALSE)</f>
        <v>0</v>
      </c>
      <c r="AP284" s="3">
        <f>VLOOKUP($AL284,Table1[],5,FALSE)</f>
        <v>0</v>
      </c>
      <c r="AQ284" s="3">
        <f>VLOOKUP($AL284,Table1[],6,FALSE)</f>
        <v>0</v>
      </c>
      <c r="AR284" s="3">
        <f>VLOOKUP($AL284,Table1[],7,FALSE)</f>
        <v>0</v>
      </c>
      <c r="AS284" s="3">
        <f>VLOOKUP($AL284,Table1[],8,FALSE)</f>
        <v>0</v>
      </c>
    </row>
    <row r="285" spans="1:45" x14ac:dyDescent="0.35">
      <c r="A285" s="2" t="s">
        <v>854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2" t="s">
        <v>855</v>
      </c>
      <c r="AL285" s="2" t="s">
        <v>856</v>
      </c>
      <c r="AM285" s="3" t="e">
        <f>VLOOKUP(AL285,Table1[],2,FALSE)</f>
        <v>#N/A</v>
      </c>
      <c r="AN285" s="3" t="e">
        <f>VLOOKUP(AL285,Table1[],3,FALSE)</f>
        <v>#N/A</v>
      </c>
      <c r="AO285" s="3" t="e">
        <f>VLOOKUP($AL285,Table1[],4,FALSE)</f>
        <v>#N/A</v>
      </c>
      <c r="AP285" s="3" t="e">
        <f>VLOOKUP($AL285,Table1[],5,FALSE)</f>
        <v>#N/A</v>
      </c>
      <c r="AQ285" s="3" t="e">
        <f>VLOOKUP($AL285,Table1[],6,FALSE)</f>
        <v>#N/A</v>
      </c>
      <c r="AR285" s="3" t="e">
        <f>VLOOKUP($AL285,Table1[],7,FALSE)</f>
        <v>#N/A</v>
      </c>
      <c r="AS285" s="3" t="e">
        <f>VLOOKUP($AL285,Table1[],8,FALSE)</f>
        <v>#N/A</v>
      </c>
    </row>
    <row r="286" spans="1:45" x14ac:dyDescent="0.35">
      <c r="A286" s="2" t="s">
        <v>857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2" t="s">
        <v>858</v>
      </c>
      <c r="AL286" s="2" t="s">
        <v>859</v>
      </c>
      <c r="AM286" s="3" t="e">
        <f>VLOOKUP(AL286,Table1[],2,FALSE)</f>
        <v>#N/A</v>
      </c>
      <c r="AN286" s="3" t="e">
        <f>VLOOKUP(AL286,Table1[],3,FALSE)</f>
        <v>#N/A</v>
      </c>
      <c r="AO286" s="3" t="e">
        <f>VLOOKUP($AL286,Table1[],4,FALSE)</f>
        <v>#N/A</v>
      </c>
      <c r="AP286" s="3" t="e">
        <f>VLOOKUP($AL286,Table1[],5,FALSE)</f>
        <v>#N/A</v>
      </c>
      <c r="AQ286" s="3" t="e">
        <f>VLOOKUP($AL286,Table1[],6,FALSE)</f>
        <v>#N/A</v>
      </c>
      <c r="AR286" s="3" t="e">
        <f>VLOOKUP($AL286,Table1[],7,FALSE)</f>
        <v>#N/A</v>
      </c>
      <c r="AS286" s="3" t="e">
        <f>VLOOKUP($AL286,Table1[],8,FALSE)</f>
        <v>#N/A</v>
      </c>
    </row>
    <row r="287" spans="1:45" x14ac:dyDescent="0.35">
      <c r="A287" s="2" t="s">
        <v>860</v>
      </c>
      <c r="B287" s="3">
        <v>367292.82</v>
      </c>
      <c r="C287" s="3">
        <v>367292.82</v>
      </c>
      <c r="D287" s="3">
        <v>0</v>
      </c>
      <c r="E287" s="3">
        <v>367292.82</v>
      </c>
      <c r="F287" s="3">
        <v>0</v>
      </c>
      <c r="G287" s="3">
        <v>367292.82</v>
      </c>
      <c r="H287" s="3">
        <v>367292.82</v>
      </c>
      <c r="I287" s="3">
        <v>0</v>
      </c>
      <c r="J287" s="3">
        <v>367292.82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367292.82</v>
      </c>
      <c r="AG287" s="3">
        <v>367292.82</v>
      </c>
      <c r="AH287" s="3">
        <v>0</v>
      </c>
      <c r="AI287" s="3">
        <v>367292.82</v>
      </c>
      <c r="AJ287" s="3">
        <v>0</v>
      </c>
      <c r="AK287" s="2" t="s">
        <v>861</v>
      </c>
      <c r="AL287" s="2" t="s">
        <v>862</v>
      </c>
      <c r="AM287" s="3">
        <f>VLOOKUP(AL287,Table1[],2,FALSE)</f>
        <v>0</v>
      </c>
      <c r="AN287" s="3">
        <f>VLOOKUP(AL287,Table1[],3,FALSE)</f>
        <v>0</v>
      </c>
      <c r="AO287" s="3">
        <f>VLOOKUP($AL287,Table1[],4,FALSE)</f>
        <v>0</v>
      </c>
      <c r="AP287" s="3">
        <f>VLOOKUP($AL287,Table1[],5,FALSE)</f>
        <v>0</v>
      </c>
      <c r="AQ287" s="3">
        <f>VLOOKUP($AL287,Table1[],6,FALSE)</f>
        <v>0</v>
      </c>
      <c r="AR287" s="3">
        <f>VLOOKUP($AL287,Table1[],7,FALSE)</f>
        <v>0</v>
      </c>
      <c r="AS287" s="3">
        <f>VLOOKUP($AL287,Table1[],8,FALSE)</f>
        <v>0</v>
      </c>
    </row>
    <row r="288" spans="1:45" x14ac:dyDescent="0.35">
      <c r="A288" s="2" t="s">
        <v>863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2" t="s">
        <v>864</v>
      </c>
      <c r="AL288" s="2" t="s">
        <v>865</v>
      </c>
      <c r="AM288" s="3" t="e">
        <f>VLOOKUP(AL288,Table1[],2,FALSE)</f>
        <v>#N/A</v>
      </c>
      <c r="AN288" s="3" t="e">
        <f>VLOOKUP(AL288,Table1[],3,FALSE)</f>
        <v>#N/A</v>
      </c>
      <c r="AO288" s="3" t="e">
        <f>VLOOKUP($AL288,Table1[],4,FALSE)</f>
        <v>#N/A</v>
      </c>
      <c r="AP288" s="3" t="e">
        <f>VLOOKUP($AL288,Table1[],5,FALSE)</f>
        <v>#N/A</v>
      </c>
      <c r="AQ288" s="3" t="e">
        <f>VLOOKUP($AL288,Table1[],6,FALSE)</f>
        <v>#N/A</v>
      </c>
      <c r="AR288" s="3" t="e">
        <f>VLOOKUP($AL288,Table1[],7,FALSE)</f>
        <v>#N/A</v>
      </c>
      <c r="AS288" s="3" t="e">
        <f>VLOOKUP($AL288,Table1[],8,FALSE)</f>
        <v>#N/A</v>
      </c>
    </row>
    <row r="289" spans="1:45" x14ac:dyDescent="0.35">
      <c r="A289" s="2" t="s">
        <v>866</v>
      </c>
      <c r="B289" s="3">
        <v>3871000</v>
      </c>
      <c r="C289" s="3">
        <v>2577466.23</v>
      </c>
      <c r="D289" s="3">
        <v>0.03</v>
      </c>
      <c r="E289" s="3">
        <v>2577466.2599999998</v>
      </c>
      <c r="F289" s="3">
        <v>1293533.74</v>
      </c>
      <c r="G289" s="3">
        <v>3871000</v>
      </c>
      <c r="H289" s="3">
        <v>2577466.23</v>
      </c>
      <c r="I289" s="3">
        <v>0.03</v>
      </c>
      <c r="J289" s="3">
        <v>2577466.2599999998</v>
      </c>
      <c r="K289" s="3">
        <v>1293533.74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3871000</v>
      </c>
      <c r="AG289" s="3">
        <v>2577466.23</v>
      </c>
      <c r="AH289" s="3">
        <v>0.03</v>
      </c>
      <c r="AI289" s="3">
        <v>2577466.2599999998</v>
      </c>
      <c r="AJ289" s="3">
        <v>1293533.74</v>
      </c>
      <c r="AK289" s="2" t="s">
        <v>867</v>
      </c>
      <c r="AL289" s="2" t="s">
        <v>868</v>
      </c>
      <c r="AM289" s="3">
        <f>VLOOKUP(AL289,Table1[],2,FALSE)</f>
        <v>0</v>
      </c>
      <c r="AN289" s="3">
        <f>VLOOKUP(AL289,Table1[],3,FALSE)</f>
        <v>0</v>
      </c>
      <c r="AO289" s="3">
        <f>VLOOKUP($AL289,Table1[],4,FALSE)</f>
        <v>0</v>
      </c>
      <c r="AP289" s="3">
        <f>VLOOKUP($AL289,Table1[],5,FALSE)</f>
        <v>0</v>
      </c>
      <c r="AQ289" s="3">
        <f>VLOOKUP($AL289,Table1[],6,FALSE)</f>
        <v>0</v>
      </c>
      <c r="AR289" s="3">
        <f>VLOOKUP($AL289,Table1[],7,FALSE)</f>
        <v>0</v>
      </c>
      <c r="AS289" s="3">
        <f>VLOOKUP($AL289,Table1[],8,FALSE)</f>
        <v>0</v>
      </c>
    </row>
    <row r="290" spans="1:45" x14ac:dyDescent="0.35">
      <c r="A290" s="2" t="s">
        <v>869</v>
      </c>
      <c r="B290" s="3">
        <v>7200000</v>
      </c>
      <c r="C290" s="3">
        <v>0</v>
      </c>
      <c r="D290" s="3">
        <v>0</v>
      </c>
      <c r="E290" s="3">
        <v>0</v>
      </c>
      <c r="F290" s="3">
        <v>7200000</v>
      </c>
      <c r="G290" s="3">
        <v>7200000</v>
      </c>
      <c r="H290" s="3">
        <v>0</v>
      </c>
      <c r="I290" s="3">
        <v>0</v>
      </c>
      <c r="J290" s="3">
        <v>0</v>
      </c>
      <c r="K290" s="3">
        <v>7200000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7200000</v>
      </c>
      <c r="AG290" s="3">
        <v>0</v>
      </c>
      <c r="AH290" s="3">
        <v>0</v>
      </c>
      <c r="AI290" s="3">
        <v>0</v>
      </c>
      <c r="AJ290" s="3">
        <v>7200000</v>
      </c>
      <c r="AK290" s="2" t="s">
        <v>870</v>
      </c>
      <c r="AL290" s="2" t="s">
        <v>871</v>
      </c>
      <c r="AM290" s="3" t="e">
        <f>VLOOKUP(AL290,Table1[],2,FALSE)</f>
        <v>#N/A</v>
      </c>
      <c r="AN290" s="3" t="e">
        <f>VLOOKUP(AL290,Table1[],3,FALSE)</f>
        <v>#N/A</v>
      </c>
      <c r="AO290" s="3" t="e">
        <f>VLOOKUP($AL290,Table1[],4,FALSE)</f>
        <v>#N/A</v>
      </c>
      <c r="AP290" s="3" t="e">
        <f>VLOOKUP($AL290,Table1[],5,FALSE)</f>
        <v>#N/A</v>
      </c>
      <c r="AQ290" s="3" t="e">
        <f>VLOOKUP($AL290,Table1[],6,FALSE)</f>
        <v>#N/A</v>
      </c>
      <c r="AR290" s="3" t="e">
        <f>VLOOKUP($AL290,Table1[],7,FALSE)</f>
        <v>#N/A</v>
      </c>
      <c r="AS290" s="3" t="e">
        <f>VLOOKUP($AL290,Table1[],8,FALSE)</f>
        <v>#N/A</v>
      </c>
    </row>
    <row r="291" spans="1:45" x14ac:dyDescent="0.35">
      <c r="A291" s="2" t="s">
        <v>872</v>
      </c>
      <c r="B291" s="3">
        <v>4000000</v>
      </c>
      <c r="C291" s="3">
        <v>3006777.86</v>
      </c>
      <c r="D291" s="3">
        <v>93879.62</v>
      </c>
      <c r="E291" s="3">
        <v>3100657.48</v>
      </c>
      <c r="F291" s="3">
        <v>899342.52</v>
      </c>
      <c r="G291" s="3">
        <v>4000000</v>
      </c>
      <c r="H291" s="3">
        <v>3006777.86</v>
      </c>
      <c r="I291" s="3">
        <v>93879.62</v>
      </c>
      <c r="J291" s="3">
        <v>3100657.48</v>
      </c>
      <c r="K291" s="3">
        <v>899342.52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4000000</v>
      </c>
      <c r="AG291" s="3">
        <v>3006777.86</v>
      </c>
      <c r="AH291" s="3">
        <v>93879.62</v>
      </c>
      <c r="AI291" s="3">
        <v>3100657.48</v>
      </c>
      <c r="AJ291" s="3">
        <v>899342.52</v>
      </c>
      <c r="AK291" s="2" t="s">
        <v>873</v>
      </c>
      <c r="AL291" s="2" t="s">
        <v>874</v>
      </c>
      <c r="AM291" s="3">
        <f>VLOOKUP(AL291,Table1[],2,FALSE)</f>
        <v>0</v>
      </c>
      <c r="AN291" s="3">
        <f>VLOOKUP(AL291,Table1[],3,FALSE)</f>
        <v>0</v>
      </c>
      <c r="AO291" s="3">
        <f>VLOOKUP($AL291,Table1[],4,FALSE)</f>
        <v>0</v>
      </c>
      <c r="AP291" s="3">
        <f>VLOOKUP($AL291,Table1[],5,FALSE)</f>
        <v>0</v>
      </c>
      <c r="AQ291" s="3">
        <f>VLOOKUP($AL291,Table1[],6,FALSE)</f>
        <v>0</v>
      </c>
      <c r="AR291" s="3">
        <f>VLOOKUP($AL291,Table1[],7,FALSE)</f>
        <v>0</v>
      </c>
      <c r="AS291" s="3">
        <f>VLOOKUP($AL291,Table1[],8,FALSE)</f>
        <v>0</v>
      </c>
    </row>
    <row r="292" spans="1:45" x14ac:dyDescent="0.35">
      <c r="A292" s="2" t="s">
        <v>875</v>
      </c>
      <c r="B292" s="3">
        <v>7200000</v>
      </c>
      <c r="C292" s="3">
        <v>0</v>
      </c>
      <c r="D292" s="3">
        <v>0</v>
      </c>
      <c r="E292" s="3">
        <v>0</v>
      </c>
      <c r="F292" s="3">
        <v>7200000</v>
      </c>
      <c r="G292" s="3">
        <v>7200000</v>
      </c>
      <c r="H292" s="3">
        <v>0</v>
      </c>
      <c r="I292" s="3">
        <v>0</v>
      </c>
      <c r="J292" s="3">
        <v>0</v>
      </c>
      <c r="K292" s="3">
        <v>7200000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7200000</v>
      </c>
      <c r="AG292" s="3">
        <v>0</v>
      </c>
      <c r="AH292" s="3">
        <v>0</v>
      </c>
      <c r="AI292" s="3">
        <v>0</v>
      </c>
      <c r="AJ292" s="3">
        <v>7200000</v>
      </c>
      <c r="AK292" s="2" t="s">
        <v>876</v>
      </c>
      <c r="AL292" s="2" t="s">
        <v>877</v>
      </c>
      <c r="AM292" s="3" t="e">
        <f>VLOOKUP(AL292,Table1[],2,FALSE)</f>
        <v>#N/A</v>
      </c>
      <c r="AN292" s="3" t="e">
        <f>VLOOKUP(AL292,Table1[],3,FALSE)</f>
        <v>#N/A</v>
      </c>
      <c r="AO292" s="3" t="e">
        <f>VLOOKUP($AL292,Table1[],4,FALSE)</f>
        <v>#N/A</v>
      </c>
      <c r="AP292" s="3" t="e">
        <f>VLOOKUP($AL292,Table1[],5,FALSE)</f>
        <v>#N/A</v>
      </c>
      <c r="AQ292" s="3" t="e">
        <f>VLOOKUP($AL292,Table1[],6,FALSE)</f>
        <v>#N/A</v>
      </c>
      <c r="AR292" s="3" t="e">
        <f>VLOOKUP($AL292,Table1[],7,FALSE)</f>
        <v>#N/A</v>
      </c>
      <c r="AS292" s="3" t="e">
        <f>VLOOKUP($AL292,Table1[],8,FALSE)</f>
        <v>#N/A</v>
      </c>
    </row>
    <row r="293" spans="1:45" x14ac:dyDescent="0.35">
      <c r="A293" s="2" t="s">
        <v>878</v>
      </c>
      <c r="B293" s="3">
        <v>4000000</v>
      </c>
      <c r="C293" s="3">
        <v>256520.46</v>
      </c>
      <c r="D293" s="3">
        <v>1.97</v>
      </c>
      <c r="E293" s="3">
        <v>256522.43</v>
      </c>
      <c r="F293" s="3">
        <v>3743477.57</v>
      </c>
      <c r="G293" s="3">
        <v>4000000</v>
      </c>
      <c r="H293" s="3">
        <v>256520.46</v>
      </c>
      <c r="I293" s="3">
        <v>1.97</v>
      </c>
      <c r="J293" s="3">
        <v>256522.43</v>
      </c>
      <c r="K293" s="3">
        <v>3743477.57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4000000</v>
      </c>
      <c r="AG293" s="3">
        <v>256520.46</v>
      </c>
      <c r="AH293" s="3">
        <v>1.97</v>
      </c>
      <c r="AI293" s="3">
        <v>256522.43</v>
      </c>
      <c r="AJ293" s="3">
        <v>3743477.57</v>
      </c>
      <c r="AK293" s="2" t="s">
        <v>879</v>
      </c>
      <c r="AL293" s="2" t="s">
        <v>880</v>
      </c>
      <c r="AM293" s="3">
        <f>VLOOKUP(AL293,Table1[],2,FALSE)</f>
        <v>0</v>
      </c>
      <c r="AN293" s="3">
        <f>VLOOKUP(AL293,Table1[],3,FALSE)</f>
        <v>0</v>
      </c>
      <c r="AO293" s="3">
        <f>VLOOKUP($AL293,Table1[],4,FALSE)</f>
        <v>0</v>
      </c>
      <c r="AP293" s="3">
        <f>VLOOKUP($AL293,Table1[],5,FALSE)</f>
        <v>0</v>
      </c>
      <c r="AQ293" s="3">
        <f>VLOOKUP($AL293,Table1[],6,FALSE)</f>
        <v>0</v>
      </c>
      <c r="AR293" s="3">
        <f>VLOOKUP($AL293,Table1[],7,FALSE)</f>
        <v>0</v>
      </c>
      <c r="AS293" s="3">
        <f>VLOOKUP($AL293,Table1[],8,FALSE)</f>
        <v>0</v>
      </c>
    </row>
    <row r="294" spans="1:45" x14ac:dyDescent="0.35">
      <c r="A294" s="2" t="s">
        <v>881</v>
      </c>
      <c r="B294" s="3">
        <v>1600000</v>
      </c>
      <c r="C294" s="3">
        <v>1076352.05</v>
      </c>
      <c r="D294" s="3">
        <v>0</v>
      </c>
      <c r="E294" s="3">
        <v>1076352.05</v>
      </c>
      <c r="F294" s="3">
        <v>523647.95</v>
      </c>
      <c r="G294" s="3">
        <v>1600000</v>
      </c>
      <c r="H294" s="3">
        <v>1076352.05</v>
      </c>
      <c r="I294" s="3">
        <v>0</v>
      </c>
      <c r="J294" s="3">
        <v>1076352.05</v>
      </c>
      <c r="K294" s="3">
        <v>523647.95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1600000</v>
      </c>
      <c r="AG294" s="3">
        <v>1076352.05</v>
      </c>
      <c r="AH294" s="3">
        <v>0</v>
      </c>
      <c r="AI294" s="3">
        <v>1076352.05</v>
      </c>
      <c r="AJ294" s="3">
        <v>523647.95</v>
      </c>
      <c r="AK294" s="2" t="s">
        <v>882</v>
      </c>
      <c r="AL294" s="2" t="s">
        <v>883</v>
      </c>
      <c r="AM294" s="3">
        <f>VLOOKUP(AL294,Table1[],2,FALSE)</f>
        <v>0</v>
      </c>
      <c r="AN294" s="3">
        <f>VLOOKUP(AL294,Table1[],3,FALSE)</f>
        <v>0</v>
      </c>
      <c r="AO294" s="3">
        <f>VLOOKUP($AL294,Table1[],4,FALSE)</f>
        <v>0</v>
      </c>
      <c r="AP294" s="3">
        <f>VLOOKUP($AL294,Table1[],5,FALSE)</f>
        <v>0</v>
      </c>
      <c r="AQ294" s="3">
        <f>VLOOKUP($AL294,Table1[],6,FALSE)</f>
        <v>0</v>
      </c>
      <c r="AR294" s="3">
        <f>VLOOKUP($AL294,Table1[],7,FALSE)</f>
        <v>0</v>
      </c>
      <c r="AS294" s="3">
        <f>VLOOKUP($AL294,Table1[],8,FALSE)</f>
        <v>0</v>
      </c>
    </row>
    <row r="295" spans="1:45" x14ac:dyDescent="0.35">
      <c r="A295" s="2" t="s">
        <v>884</v>
      </c>
      <c r="B295" s="3">
        <v>19608000</v>
      </c>
      <c r="C295" s="3">
        <v>15419856.9</v>
      </c>
      <c r="D295" s="3">
        <v>0.03</v>
      </c>
      <c r="E295" s="3">
        <v>15419856.93</v>
      </c>
      <c r="F295" s="3">
        <v>4188143.07</v>
      </c>
      <c r="G295" s="3">
        <v>19608000</v>
      </c>
      <c r="H295" s="3">
        <v>15419856.9</v>
      </c>
      <c r="I295" s="3">
        <v>0.03</v>
      </c>
      <c r="J295" s="3">
        <v>15419856.93</v>
      </c>
      <c r="K295" s="3">
        <v>4188143.07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19608000</v>
      </c>
      <c r="AG295" s="3">
        <v>15419856.9</v>
      </c>
      <c r="AH295" s="3">
        <v>0.03</v>
      </c>
      <c r="AI295" s="3">
        <v>15419856.93</v>
      </c>
      <c r="AJ295" s="3">
        <v>4188143.07</v>
      </c>
      <c r="AK295" s="2" t="s">
        <v>885</v>
      </c>
      <c r="AL295" s="2" t="s">
        <v>886</v>
      </c>
      <c r="AM295" s="3">
        <f>VLOOKUP(AL295,Table1[],2,FALSE)</f>
        <v>0</v>
      </c>
      <c r="AN295" s="3">
        <f>VLOOKUP(AL295,Table1[],3,FALSE)</f>
        <v>0</v>
      </c>
      <c r="AO295" s="3">
        <f>VLOOKUP($AL295,Table1[],4,FALSE)</f>
        <v>0</v>
      </c>
      <c r="AP295" s="3">
        <f>VLOOKUP($AL295,Table1[],5,FALSE)</f>
        <v>0</v>
      </c>
      <c r="AQ295" s="3">
        <f>VLOOKUP($AL295,Table1[],6,FALSE)</f>
        <v>0</v>
      </c>
      <c r="AR295" s="3">
        <f>VLOOKUP($AL295,Table1[],7,FALSE)</f>
        <v>0</v>
      </c>
      <c r="AS295" s="3">
        <f>VLOOKUP($AL295,Table1[],8,FALSE)</f>
        <v>0</v>
      </c>
    </row>
    <row r="296" spans="1:45" x14ac:dyDescent="0.35">
      <c r="A296" s="2" t="s">
        <v>887</v>
      </c>
      <c r="B296" s="3">
        <v>687850</v>
      </c>
      <c r="C296" s="3">
        <v>644575</v>
      </c>
      <c r="D296" s="3">
        <v>0</v>
      </c>
      <c r="E296" s="3">
        <v>644575</v>
      </c>
      <c r="F296" s="3">
        <v>43275</v>
      </c>
      <c r="G296" s="3">
        <v>67850</v>
      </c>
      <c r="H296" s="3">
        <v>67850</v>
      </c>
      <c r="I296" s="3">
        <v>0</v>
      </c>
      <c r="J296" s="3">
        <v>67850</v>
      </c>
      <c r="K296" s="3">
        <v>0</v>
      </c>
      <c r="L296" s="3">
        <v>620000</v>
      </c>
      <c r="M296" s="3">
        <v>576725</v>
      </c>
      <c r="N296" s="3">
        <v>0</v>
      </c>
      <c r="O296" s="3">
        <v>576725</v>
      </c>
      <c r="P296" s="3">
        <v>43275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687850</v>
      </c>
      <c r="AG296" s="3">
        <v>644575</v>
      </c>
      <c r="AH296" s="3">
        <v>0</v>
      </c>
      <c r="AI296" s="3">
        <v>644575</v>
      </c>
      <c r="AJ296" s="3">
        <v>43275</v>
      </c>
      <c r="AK296" s="2" t="s">
        <v>888</v>
      </c>
      <c r="AL296" s="2" t="s">
        <v>889</v>
      </c>
      <c r="AM296" s="3">
        <f>VLOOKUP(AL296,Table1[],2,FALSE)</f>
        <v>0</v>
      </c>
      <c r="AN296" s="3">
        <f>VLOOKUP(AL296,Table1[],3,FALSE)</f>
        <v>0</v>
      </c>
      <c r="AO296" s="3">
        <f>VLOOKUP($AL296,Table1[],4,FALSE)</f>
        <v>0</v>
      </c>
      <c r="AP296" s="3">
        <f>VLOOKUP($AL296,Table1[],5,FALSE)</f>
        <v>0</v>
      </c>
      <c r="AQ296" s="3">
        <f>VLOOKUP($AL296,Table1[],6,FALSE)</f>
        <v>0</v>
      </c>
      <c r="AR296" s="3">
        <f>VLOOKUP($AL296,Table1[],7,FALSE)</f>
        <v>0</v>
      </c>
      <c r="AS296" s="3">
        <f>VLOOKUP($AL296,Table1[],8,FALSE)</f>
        <v>0</v>
      </c>
    </row>
    <row r="297" spans="1:45" x14ac:dyDescent="0.35">
      <c r="A297" s="2" t="s">
        <v>890</v>
      </c>
      <c r="B297" s="3">
        <v>19104575</v>
      </c>
      <c r="C297" s="3">
        <v>19045750</v>
      </c>
      <c r="D297" s="3">
        <v>0</v>
      </c>
      <c r="E297" s="3">
        <v>19045750</v>
      </c>
      <c r="F297" s="3">
        <v>58825</v>
      </c>
      <c r="G297" s="3">
        <v>1904575</v>
      </c>
      <c r="H297" s="3">
        <v>1904575</v>
      </c>
      <c r="I297" s="3">
        <v>0</v>
      </c>
      <c r="J297" s="3">
        <v>1904575</v>
      </c>
      <c r="K297" s="3">
        <v>0</v>
      </c>
      <c r="L297" s="3">
        <v>17200000</v>
      </c>
      <c r="M297" s="3">
        <v>17141175</v>
      </c>
      <c r="N297" s="3">
        <v>0</v>
      </c>
      <c r="O297" s="3">
        <v>17141175</v>
      </c>
      <c r="P297" s="3">
        <v>58825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19104575</v>
      </c>
      <c r="AG297" s="3">
        <v>19045750</v>
      </c>
      <c r="AH297" s="3">
        <v>0</v>
      </c>
      <c r="AI297" s="3">
        <v>19045750</v>
      </c>
      <c r="AJ297" s="3">
        <v>58825</v>
      </c>
      <c r="AK297" s="2" t="s">
        <v>891</v>
      </c>
      <c r="AL297" s="2" t="s">
        <v>892</v>
      </c>
      <c r="AM297" s="3">
        <f>VLOOKUP(AL297,Table1[],2,FALSE)</f>
        <v>0</v>
      </c>
      <c r="AN297" s="3">
        <f>VLOOKUP(AL297,Table1[],3,FALSE)</f>
        <v>0</v>
      </c>
      <c r="AO297" s="3">
        <f>VLOOKUP($AL297,Table1[],4,FALSE)</f>
        <v>0</v>
      </c>
      <c r="AP297" s="3">
        <f>VLOOKUP($AL297,Table1[],5,FALSE)</f>
        <v>0</v>
      </c>
      <c r="AQ297" s="3">
        <f>VLOOKUP($AL297,Table1[],6,FALSE)</f>
        <v>0</v>
      </c>
      <c r="AR297" s="3">
        <f>VLOOKUP($AL297,Table1[],7,FALSE)</f>
        <v>0</v>
      </c>
      <c r="AS297" s="3">
        <f>VLOOKUP($AL297,Table1[],8,FALSE)</f>
        <v>0</v>
      </c>
    </row>
    <row r="298" spans="1:45" x14ac:dyDescent="0.35">
      <c r="A298" s="2" t="s">
        <v>893</v>
      </c>
      <c r="B298" s="3">
        <v>15400000</v>
      </c>
      <c r="C298" s="3">
        <v>0</v>
      </c>
      <c r="D298" s="3">
        <v>0</v>
      </c>
      <c r="E298" s="3">
        <v>0</v>
      </c>
      <c r="F298" s="3">
        <v>15400000</v>
      </c>
      <c r="G298" s="3">
        <v>15400000</v>
      </c>
      <c r="H298" s="3">
        <v>0</v>
      </c>
      <c r="I298" s="3">
        <v>0</v>
      </c>
      <c r="J298" s="3">
        <v>0</v>
      </c>
      <c r="K298" s="3">
        <v>15400000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15400000</v>
      </c>
      <c r="AG298" s="3">
        <v>0</v>
      </c>
      <c r="AH298" s="3">
        <v>0</v>
      </c>
      <c r="AI298" s="3">
        <v>0</v>
      </c>
      <c r="AJ298" s="3">
        <v>15400000</v>
      </c>
      <c r="AK298" s="2" t="s">
        <v>894</v>
      </c>
      <c r="AL298" s="2" t="s">
        <v>895</v>
      </c>
      <c r="AM298" s="3" t="e">
        <f>VLOOKUP(AL298,Table1[],2,FALSE)</f>
        <v>#N/A</v>
      </c>
      <c r="AN298" s="3" t="e">
        <f>VLOOKUP(AL298,Table1[],3,FALSE)</f>
        <v>#N/A</v>
      </c>
      <c r="AO298" s="3" t="e">
        <f>VLOOKUP($AL298,Table1[],4,FALSE)</f>
        <v>#N/A</v>
      </c>
      <c r="AP298" s="3" t="e">
        <f>VLOOKUP($AL298,Table1[],5,FALSE)</f>
        <v>#N/A</v>
      </c>
      <c r="AQ298" s="3" t="e">
        <f>VLOOKUP($AL298,Table1[],6,FALSE)</f>
        <v>#N/A</v>
      </c>
      <c r="AR298" s="3" t="e">
        <f>VLOOKUP($AL298,Table1[],7,FALSE)</f>
        <v>#N/A</v>
      </c>
      <c r="AS298" s="3" t="e">
        <f>VLOOKUP($AL298,Table1[],8,FALSE)</f>
        <v>#N/A</v>
      </c>
    </row>
    <row r="299" spans="1:45" x14ac:dyDescent="0.35">
      <c r="A299" s="2" t="s">
        <v>896</v>
      </c>
      <c r="B299" s="3">
        <v>7000000</v>
      </c>
      <c r="C299" s="3">
        <v>0</v>
      </c>
      <c r="D299" s="3">
        <v>0</v>
      </c>
      <c r="E299" s="3">
        <v>0</v>
      </c>
      <c r="F299" s="3">
        <v>7000000</v>
      </c>
      <c r="G299" s="3">
        <v>7000000</v>
      </c>
      <c r="H299" s="3">
        <v>0</v>
      </c>
      <c r="I299" s="3">
        <v>0</v>
      </c>
      <c r="J299" s="3">
        <v>0</v>
      </c>
      <c r="K299" s="3">
        <v>7000000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7000000</v>
      </c>
      <c r="AG299" s="3">
        <v>0</v>
      </c>
      <c r="AH299" s="3">
        <v>0</v>
      </c>
      <c r="AI299" s="3">
        <v>0</v>
      </c>
      <c r="AJ299" s="3">
        <v>7000000</v>
      </c>
      <c r="AK299" s="2" t="s">
        <v>897</v>
      </c>
      <c r="AL299" s="2" t="s">
        <v>898</v>
      </c>
      <c r="AM299" s="3" t="e">
        <f>VLOOKUP(AL299,Table1[],2,FALSE)</f>
        <v>#N/A</v>
      </c>
      <c r="AN299" s="3" t="e">
        <f>VLOOKUP(AL299,Table1[],3,FALSE)</f>
        <v>#N/A</v>
      </c>
      <c r="AO299" s="3" t="e">
        <f>VLOOKUP($AL299,Table1[],4,FALSE)</f>
        <v>#N/A</v>
      </c>
      <c r="AP299" s="3" t="e">
        <f>VLOOKUP($AL299,Table1[],5,FALSE)</f>
        <v>#N/A</v>
      </c>
      <c r="AQ299" s="3" t="e">
        <f>VLOOKUP($AL299,Table1[],6,FALSE)</f>
        <v>#N/A</v>
      </c>
      <c r="AR299" s="3" t="e">
        <f>VLOOKUP($AL299,Table1[],7,FALSE)</f>
        <v>#N/A</v>
      </c>
      <c r="AS299" s="3" t="e">
        <f>VLOOKUP($AL299,Table1[],8,FALSE)</f>
        <v>#N/A</v>
      </c>
    </row>
    <row r="300" spans="1:45" x14ac:dyDescent="0.35">
      <c r="A300" s="2" t="s">
        <v>899</v>
      </c>
      <c r="B300" s="3">
        <v>7000844</v>
      </c>
      <c r="C300" s="3">
        <v>4085532</v>
      </c>
      <c r="D300" s="3">
        <v>0</v>
      </c>
      <c r="E300" s="3">
        <v>4085532</v>
      </c>
      <c r="F300" s="3">
        <v>2915312</v>
      </c>
      <c r="G300" s="3">
        <v>1361844</v>
      </c>
      <c r="H300" s="3">
        <v>1361844</v>
      </c>
      <c r="I300" s="3">
        <v>0</v>
      </c>
      <c r="J300" s="3">
        <v>1361844</v>
      </c>
      <c r="K300" s="3">
        <v>0</v>
      </c>
      <c r="L300" s="3">
        <v>5639000</v>
      </c>
      <c r="M300" s="3">
        <v>2723688</v>
      </c>
      <c r="N300" s="3">
        <v>0</v>
      </c>
      <c r="O300" s="3">
        <v>2723688</v>
      </c>
      <c r="P300" s="3">
        <v>2915312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7000844</v>
      </c>
      <c r="AG300" s="3">
        <v>4085532</v>
      </c>
      <c r="AH300" s="3">
        <v>0</v>
      </c>
      <c r="AI300" s="3">
        <v>4085532</v>
      </c>
      <c r="AJ300" s="3">
        <v>2915312</v>
      </c>
      <c r="AK300" s="2" t="s">
        <v>900</v>
      </c>
      <c r="AL300" s="2" t="s">
        <v>901</v>
      </c>
      <c r="AM300" s="3">
        <f>VLOOKUP(AL300,Table1[],2,FALSE)</f>
        <v>0</v>
      </c>
      <c r="AN300" s="3">
        <f>VLOOKUP(AL300,Table1[],3,FALSE)</f>
        <v>0</v>
      </c>
      <c r="AO300" s="3">
        <f>VLOOKUP($AL300,Table1[],4,FALSE)</f>
        <v>0</v>
      </c>
      <c r="AP300" s="3">
        <f>VLOOKUP($AL300,Table1[],5,FALSE)</f>
        <v>0</v>
      </c>
      <c r="AQ300" s="3">
        <f>VLOOKUP($AL300,Table1[],6,FALSE)</f>
        <v>0</v>
      </c>
      <c r="AR300" s="3">
        <f>VLOOKUP($AL300,Table1[],7,FALSE)</f>
        <v>0</v>
      </c>
      <c r="AS300" s="3">
        <f>VLOOKUP($AL300,Table1[],8,FALSE)</f>
        <v>0</v>
      </c>
    </row>
    <row r="301" spans="1:45" x14ac:dyDescent="0.35">
      <c r="A301" s="2" t="s">
        <v>902</v>
      </c>
      <c r="B301" s="3">
        <v>42293204.939999998</v>
      </c>
      <c r="C301" s="3">
        <v>39213234.149999999</v>
      </c>
      <c r="D301" s="3">
        <v>14.29</v>
      </c>
      <c r="E301" s="3">
        <v>39213248.439999998</v>
      </c>
      <c r="F301" s="3">
        <v>3079956.5</v>
      </c>
      <c r="G301" s="3">
        <v>30852204.940000001</v>
      </c>
      <c r="H301" s="3">
        <v>30852204.940000001</v>
      </c>
      <c r="I301" s="3">
        <v>0</v>
      </c>
      <c r="J301" s="3">
        <v>30852204.940000001</v>
      </c>
      <c r="K301" s="3">
        <v>0</v>
      </c>
      <c r="L301" s="3">
        <v>11441000</v>
      </c>
      <c r="M301" s="3">
        <v>8361029.21</v>
      </c>
      <c r="N301" s="3">
        <v>14.29</v>
      </c>
      <c r="O301" s="3">
        <v>8361043.5</v>
      </c>
      <c r="P301" s="3">
        <v>3079956.5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42293204.939999998</v>
      </c>
      <c r="AG301" s="3">
        <v>39213234.149999999</v>
      </c>
      <c r="AH301" s="3">
        <v>14.29</v>
      </c>
      <c r="AI301" s="3">
        <v>39213248.439999998</v>
      </c>
      <c r="AJ301" s="3">
        <v>3079956.5</v>
      </c>
      <c r="AK301" s="2" t="s">
        <v>903</v>
      </c>
      <c r="AL301" s="2" t="s">
        <v>904</v>
      </c>
      <c r="AM301" s="3">
        <f>VLOOKUP(AL301,Table1[],2,FALSE)</f>
        <v>0</v>
      </c>
      <c r="AN301" s="3">
        <f>VLOOKUP(AL301,Table1[],3,FALSE)</f>
        <v>0</v>
      </c>
      <c r="AO301" s="3">
        <f>VLOOKUP($AL301,Table1[],4,FALSE)</f>
        <v>0</v>
      </c>
      <c r="AP301" s="3">
        <f>VLOOKUP($AL301,Table1[],5,FALSE)</f>
        <v>0</v>
      </c>
      <c r="AQ301" s="3">
        <f>VLOOKUP($AL301,Table1[],6,FALSE)</f>
        <v>0</v>
      </c>
      <c r="AR301" s="3">
        <f>VLOOKUP($AL301,Table1[],7,FALSE)</f>
        <v>0</v>
      </c>
      <c r="AS301" s="3">
        <f>VLOOKUP($AL301,Table1[],8,FALSE)</f>
        <v>0</v>
      </c>
    </row>
    <row r="302" spans="1:45" x14ac:dyDescent="0.35">
      <c r="A302" s="2" t="s">
        <v>905</v>
      </c>
      <c r="B302" s="3">
        <v>7000000</v>
      </c>
      <c r="C302" s="3">
        <v>4072628</v>
      </c>
      <c r="D302" s="3">
        <v>0</v>
      </c>
      <c r="E302" s="3">
        <v>4072628</v>
      </c>
      <c r="F302" s="3">
        <v>2927372</v>
      </c>
      <c r="G302" s="3">
        <v>7000000</v>
      </c>
      <c r="H302" s="3">
        <v>4072628</v>
      </c>
      <c r="I302" s="3">
        <v>0</v>
      </c>
      <c r="J302" s="3">
        <v>4072628</v>
      </c>
      <c r="K302" s="3">
        <v>2927372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7000000</v>
      </c>
      <c r="AG302" s="3">
        <v>4072628</v>
      </c>
      <c r="AH302" s="3">
        <v>0</v>
      </c>
      <c r="AI302" s="3">
        <v>4072628</v>
      </c>
      <c r="AJ302" s="3">
        <v>2927372</v>
      </c>
      <c r="AK302" s="2" t="s">
        <v>906</v>
      </c>
      <c r="AL302" s="2" t="s">
        <v>907</v>
      </c>
      <c r="AM302" s="3">
        <f>VLOOKUP(AL302,Table1[],2,FALSE)</f>
        <v>0</v>
      </c>
      <c r="AN302" s="3">
        <f>VLOOKUP(AL302,Table1[],3,FALSE)</f>
        <v>0</v>
      </c>
      <c r="AO302" s="3">
        <f>VLOOKUP($AL302,Table1[],4,FALSE)</f>
        <v>0</v>
      </c>
      <c r="AP302" s="3">
        <f>VLOOKUP($AL302,Table1[],5,FALSE)</f>
        <v>0</v>
      </c>
      <c r="AQ302" s="3">
        <f>VLOOKUP($AL302,Table1[],6,FALSE)</f>
        <v>0</v>
      </c>
      <c r="AR302" s="3">
        <f>VLOOKUP($AL302,Table1[],7,FALSE)</f>
        <v>0</v>
      </c>
      <c r="AS302" s="3">
        <f>VLOOKUP($AL302,Table1[],8,FALSE)</f>
        <v>0</v>
      </c>
    </row>
    <row r="303" spans="1:45" x14ac:dyDescent="0.35">
      <c r="A303" s="2" t="s">
        <v>908</v>
      </c>
      <c r="B303" s="3">
        <v>1800000</v>
      </c>
      <c r="C303" s="3">
        <v>1332047.4099999999</v>
      </c>
      <c r="D303" s="3">
        <v>0.02</v>
      </c>
      <c r="E303" s="3">
        <v>1332047.43</v>
      </c>
      <c r="F303" s="3">
        <v>467952.57</v>
      </c>
      <c r="G303" s="3">
        <v>1800000</v>
      </c>
      <c r="H303" s="3">
        <v>1332047.4099999999</v>
      </c>
      <c r="I303" s="3">
        <v>0.02</v>
      </c>
      <c r="J303" s="3">
        <v>1332047.43</v>
      </c>
      <c r="K303" s="3">
        <v>467952.57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1800000</v>
      </c>
      <c r="AG303" s="3">
        <v>1332047.4099999999</v>
      </c>
      <c r="AH303" s="3">
        <v>0.02</v>
      </c>
      <c r="AI303" s="3">
        <v>1332047.43</v>
      </c>
      <c r="AJ303" s="3">
        <v>467952.57</v>
      </c>
      <c r="AK303" s="2" t="s">
        <v>909</v>
      </c>
      <c r="AL303" s="2" t="s">
        <v>910</v>
      </c>
      <c r="AM303" s="3">
        <f>VLOOKUP(AL303,Table1[],2,FALSE)</f>
        <v>0</v>
      </c>
      <c r="AN303" s="3">
        <f>VLOOKUP(AL303,Table1[],3,FALSE)</f>
        <v>0</v>
      </c>
      <c r="AO303" s="3">
        <f>VLOOKUP($AL303,Table1[],4,FALSE)</f>
        <v>0</v>
      </c>
      <c r="AP303" s="3">
        <f>VLOOKUP($AL303,Table1[],5,FALSE)</f>
        <v>0</v>
      </c>
      <c r="AQ303" s="3">
        <f>VLOOKUP($AL303,Table1[],6,FALSE)</f>
        <v>0</v>
      </c>
      <c r="AR303" s="3">
        <f>VLOOKUP($AL303,Table1[],7,FALSE)</f>
        <v>0</v>
      </c>
      <c r="AS303" s="3">
        <f>VLOOKUP($AL303,Table1[],8,FALSE)</f>
        <v>0</v>
      </c>
    </row>
    <row r="304" spans="1:45" x14ac:dyDescent="0.35">
      <c r="A304" s="2" t="s">
        <v>911</v>
      </c>
      <c r="B304" s="3">
        <v>2500000</v>
      </c>
      <c r="C304" s="3">
        <v>243851.51999999999</v>
      </c>
      <c r="D304" s="3">
        <v>0</v>
      </c>
      <c r="E304" s="3">
        <v>243851.51999999999</v>
      </c>
      <c r="F304" s="3">
        <v>2256148.48</v>
      </c>
      <c r="G304" s="3">
        <v>2500000</v>
      </c>
      <c r="H304" s="3">
        <v>243851.51999999999</v>
      </c>
      <c r="I304" s="3">
        <v>0</v>
      </c>
      <c r="J304" s="3">
        <v>243851.51999999999</v>
      </c>
      <c r="K304" s="3">
        <v>2256148.48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2500000</v>
      </c>
      <c r="AG304" s="3">
        <v>243851.51999999999</v>
      </c>
      <c r="AH304" s="3">
        <v>0</v>
      </c>
      <c r="AI304" s="3">
        <v>243851.51999999999</v>
      </c>
      <c r="AJ304" s="3">
        <v>2256148.48</v>
      </c>
      <c r="AK304" s="2" t="s">
        <v>912</v>
      </c>
      <c r="AL304" s="2" t="s">
        <v>913</v>
      </c>
      <c r="AM304" s="3">
        <f>VLOOKUP(AL304,Table1[],2,FALSE)</f>
        <v>0</v>
      </c>
      <c r="AN304" s="3">
        <f>VLOOKUP(AL304,Table1[],3,FALSE)</f>
        <v>0</v>
      </c>
      <c r="AO304" s="3">
        <f>VLOOKUP($AL304,Table1[],4,FALSE)</f>
        <v>0</v>
      </c>
      <c r="AP304" s="3">
        <f>VLOOKUP($AL304,Table1[],5,FALSE)</f>
        <v>0</v>
      </c>
      <c r="AQ304" s="3">
        <f>VLOOKUP($AL304,Table1[],6,FALSE)</f>
        <v>0</v>
      </c>
      <c r="AR304" s="3">
        <f>VLOOKUP($AL304,Table1[],7,FALSE)</f>
        <v>0</v>
      </c>
      <c r="AS304" s="3">
        <f>VLOOKUP($AL304,Table1[],8,FALSE)</f>
        <v>0</v>
      </c>
    </row>
    <row r="305" spans="1:45" x14ac:dyDescent="0.35">
      <c r="A305" s="2" t="s">
        <v>914</v>
      </c>
      <c r="B305" s="3">
        <v>550000</v>
      </c>
      <c r="C305" s="3">
        <v>0</v>
      </c>
      <c r="D305" s="3">
        <v>0</v>
      </c>
      <c r="E305" s="3">
        <v>0</v>
      </c>
      <c r="F305" s="3">
        <v>550000</v>
      </c>
      <c r="G305" s="3">
        <v>550000</v>
      </c>
      <c r="H305" s="3">
        <v>0</v>
      </c>
      <c r="I305" s="3">
        <v>0</v>
      </c>
      <c r="J305" s="3">
        <v>0</v>
      </c>
      <c r="K305" s="3">
        <v>550000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550000</v>
      </c>
      <c r="AG305" s="3">
        <v>0</v>
      </c>
      <c r="AH305" s="3">
        <v>0</v>
      </c>
      <c r="AI305" s="3">
        <v>0</v>
      </c>
      <c r="AJ305" s="3">
        <v>550000</v>
      </c>
      <c r="AK305" s="2" t="s">
        <v>915</v>
      </c>
      <c r="AL305" s="2" t="s">
        <v>916</v>
      </c>
      <c r="AM305" s="3" t="e">
        <f>VLOOKUP(AL305,Table1[],2,FALSE)</f>
        <v>#N/A</v>
      </c>
      <c r="AN305" s="3" t="e">
        <f>VLOOKUP(AL305,Table1[],3,FALSE)</f>
        <v>#N/A</v>
      </c>
      <c r="AO305" s="3" t="e">
        <f>VLOOKUP($AL305,Table1[],4,FALSE)</f>
        <v>#N/A</v>
      </c>
      <c r="AP305" s="3" t="e">
        <f>VLOOKUP($AL305,Table1[],5,FALSE)</f>
        <v>#N/A</v>
      </c>
      <c r="AQ305" s="3" t="e">
        <f>VLOOKUP($AL305,Table1[],6,FALSE)</f>
        <v>#N/A</v>
      </c>
      <c r="AR305" s="3" t="e">
        <f>VLOOKUP($AL305,Table1[],7,FALSE)</f>
        <v>#N/A</v>
      </c>
      <c r="AS305" s="3" t="e">
        <f>VLOOKUP($AL305,Table1[],8,FALSE)</f>
        <v>#N/A</v>
      </c>
    </row>
    <row r="306" spans="1:45" x14ac:dyDescent="0.35">
      <c r="A306" s="2" t="s">
        <v>917</v>
      </c>
      <c r="B306" s="3">
        <v>10000000</v>
      </c>
      <c r="C306" s="3">
        <v>0</v>
      </c>
      <c r="D306" s="3">
        <v>0</v>
      </c>
      <c r="E306" s="3">
        <v>0</v>
      </c>
      <c r="F306" s="3">
        <v>10000000</v>
      </c>
      <c r="G306" s="3">
        <v>10000000</v>
      </c>
      <c r="H306" s="3">
        <v>0</v>
      </c>
      <c r="I306" s="3">
        <v>0</v>
      </c>
      <c r="J306" s="3">
        <v>0</v>
      </c>
      <c r="K306" s="3">
        <v>10000000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10000000</v>
      </c>
      <c r="AG306" s="3">
        <v>0</v>
      </c>
      <c r="AH306" s="3">
        <v>0</v>
      </c>
      <c r="AI306" s="3">
        <v>0</v>
      </c>
      <c r="AJ306" s="3">
        <v>10000000</v>
      </c>
      <c r="AK306" s="2" t="s">
        <v>918</v>
      </c>
      <c r="AL306" s="2" t="s">
        <v>919</v>
      </c>
      <c r="AM306" s="3" t="e">
        <f>VLOOKUP(AL306,Table1[],2,FALSE)</f>
        <v>#N/A</v>
      </c>
      <c r="AN306" s="3" t="e">
        <f>VLOOKUP(AL306,Table1[],3,FALSE)</f>
        <v>#N/A</v>
      </c>
      <c r="AO306" s="3" t="e">
        <f>VLOOKUP($AL306,Table1[],4,FALSE)</f>
        <v>#N/A</v>
      </c>
      <c r="AP306" s="3" t="e">
        <f>VLOOKUP($AL306,Table1[],5,FALSE)</f>
        <v>#N/A</v>
      </c>
      <c r="AQ306" s="3" t="e">
        <f>VLOOKUP($AL306,Table1[],6,FALSE)</f>
        <v>#N/A</v>
      </c>
      <c r="AR306" s="3" t="e">
        <f>VLOOKUP($AL306,Table1[],7,FALSE)</f>
        <v>#N/A</v>
      </c>
      <c r="AS306" s="3" t="e">
        <f>VLOOKUP($AL306,Table1[],8,FALSE)</f>
        <v>#N/A</v>
      </c>
    </row>
    <row r="307" spans="1:45" x14ac:dyDescent="0.35">
      <c r="A307" s="2" t="s">
        <v>920</v>
      </c>
      <c r="B307" s="3">
        <v>5000000</v>
      </c>
      <c r="C307" s="3">
        <v>0</v>
      </c>
      <c r="D307" s="3">
        <v>0</v>
      </c>
      <c r="E307" s="3">
        <v>0</v>
      </c>
      <c r="F307" s="3">
        <v>5000000</v>
      </c>
      <c r="G307" s="3">
        <v>5000000</v>
      </c>
      <c r="H307" s="3">
        <v>0</v>
      </c>
      <c r="I307" s="3">
        <v>0</v>
      </c>
      <c r="J307" s="3">
        <v>0</v>
      </c>
      <c r="K307" s="3">
        <v>5000000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5000000</v>
      </c>
      <c r="AG307" s="3">
        <v>0</v>
      </c>
      <c r="AH307" s="3">
        <v>0</v>
      </c>
      <c r="AI307" s="3">
        <v>0</v>
      </c>
      <c r="AJ307" s="3">
        <v>5000000</v>
      </c>
      <c r="AK307" s="2" t="s">
        <v>921</v>
      </c>
      <c r="AL307" s="2" t="s">
        <v>922</v>
      </c>
      <c r="AM307" s="3" t="e">
        <f>VLOOKUP(AL307,Table1[],2,FALSE)</f>
        <v>#N/A</v>
      </c>
      <c r="AN307" s="3" t="e">
        <f>VLOOKUP(AL307,Table1[],3,FALSE)</f>
        <v>#N/A</v>
      </c>
      <c r="AO307" s="3" t="e">
        <f>VLOOKUP($AL307,Table1[],4,FALSE)</f>
        <v>#N/A</v>
      </c>
      <c r="AP307" s="3" t="e">
        <f>VLOOKUP($AL307,Table1[],5,FALSE)</f>
        <v>#N/A</v>
      </c>
      <c r="AQ307" s="3" t="e">
        <f>VLOOKUP($AL307,Table1[],6,FALSE)</f>
        <v>#N/A</v>
      </c>
      <c r="AR307" s="3" t="e">
        <f>VLOOKUP($AL307,Table1[],7,FALSE)</f>
        <v>#N/A</v>
      </c>
      <c r="AS307" s="3" t="e">
        <f>VLOOKUP($AL307,Table1[],8,FALSE)</f>
        <v>#N/A</v>
      </c>
    </row>
    <row r="308" spans="1:45" x14ac:dyDescent="0.35">
      <c r="A308" s="2" t="s">
        <v>923</v>
      </c>
      <c r="B308" s="3">
        <v>10000000</v>
      </c>
      <c r="C308" s="3">
        <v>0</v>
      </c>
      <c r="D308" s="3">
        <v>0</v>
      </c>
      <c r="E308" s="3">
        <v>0</v>
      </c>
      <c r="F308" s="3">
        <v>10000000</v>
      </c>
      <c r="G308" s="3">
        <v>10000000</v>
      </c>
      <c r="H308" s="3">
        <v>0</v>
      </c>
      <c r="I308" s="3">
        <v>0</v>
      </c>
      <c r="J308" s="3">
        <v>0</v>
      </c>
      <c r="K308" s="3">
        <v>10000000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10000000</v>
      </c>
      <c r="AG308" s="3">
        <v>0</v>
      </c>
      <c r="AH308" s="3">
        <v>0</v>
      </c>
      <c r="AI308" s="3">
        <v>0</v>
      </c>
      <c r="AJ308" s="3">
        <v>10000000</v>
      </c>
      <c r="AK308" s="2" t="s">
        <v>924</v>
      </c>
      <c r="AL308" s="2" t="s">
        <v>925</v>
      </c>
      <c r="AM308" s="3" t="e">
        <f>VLOOKUP(AL308,Table1[],2,FALSE)</f>
        <v>#N/A</v>
      </c>
      <c r="AN308" s="3" t="e">
        <f>VLOOKUP(AL308,Table1[],3,FALSE)</f>
        <v>#N/A</v>
      </c>
      <c r="AO308" s="3" t="e">
        <f>VLOOKUP($AL308,Table1[],4,FALSE)</f>
        <v>#N/A</v>
      </c>
      <c r="AP308" s="3" t="e">
        <f>VLOOKUP($AL308,Table1[],5,FALSE)</f>
        <v>#N/A</v>
      </c>
      <c r="AQ308" s="3" t="e">
        <f>VLOOKUP($AL308,Table1[],6,FALSE)</f>
        <v>#N/A</v>
      </c>
      <c r="AR308" s="3" t="e">
        <f>VLOOKUP($AL308,Table1[],7,FALSE)</f>
        <v>#N/A</v>
      </c>
      <c r="AS308" s="3" t="e">
        <f>VLOOKUP($AL308,Table1[],8,FALSE)</f>
        <v>#N/A</v>
      </c>
    </row>
    <row r="309" spans="1:45" x14ac:dyDescent="0.35">
      <c r="A309" s="2" t="s">
        <v>926</v>
      </c>
      <c r="B309" s="3">
        <v>10000000</v>
      </c>
      <c r="C309" s="3">
        <v>7994461.9699999997</v>
      </c>
      <c r="D309" s="3">
        <v>0</v>
      </c>
      <c r="E309" s="3">
        <v>7994461.9699999997</v>
      </c>
      <c r="F309" s="3">
        <v>2005538.03</v>
      </c>
      <c r="G309" s="3">
        <v>10000000</v>
      </c>
      <c r="H309" s="3">
        <v>7994461.9699999997</v>
      </c>
      <c r="I309" s="3">
        <v>0</v>
      </c>
      <c r="J309" s="3">
        <v>7994461.9699999997</v>
      </c>
      <c r="K309" s="3">
        <v>2005538.03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10000000</v>
      </c>
      <c r="AG309" s="3">
        <v>7994461.9699999997</v>
      </c>
      <c r="AH309" s="3">
        <v>0</v>
      </c>
      <c r="AI309" s="3">
        <v>7994461.9699999997</v>
      </c>
      <c r="AJ309" s="3">
        <v>2005538.03</v>
      </c>
      <c r="AK309" s="2" t="s">
        <v>927</v>
      </c>
      <c r="AL309" s="2" t="s">
        <v>928</v>
      </c>
      <c r="AM309" s="3">
        <f>VLOOKUP(AL309,Table1[],2,FALSE)</f>
        <v>0</v>
      </c>
      <c r="AN309" s="3">
        <f>VLOOKUP(AL309,Table1[],3,FALSE)</f>
        <v>0</v>
      </c>
      <c r="AO309" s="3">
        <f>VLOOKUP($AL309,Table1[],4,FALSE)</f>
        <v>0</v>
      </c>
      <c r="AP309" s="3">
        <f>VLOOKUP($AL309,Table1[],5,FALSE)</f>
        <v>0</v>
      </c>
      <c r="AQ309" s="3">
        <f>VLOOKUP($AL309,Table1[],6,FALSE)</f>
        <v>0</v>
      </c>
      <c r="AR309" s="3">
        <f>VLOOKUP($AL309,Table1[],7,FALSE)</f>
        <v>0</v>
      </c>
      <c r="AS309" s="3">
        <f>VLOOKUP($AL309,Table1[],8,FALSE)</f>
        <v>0</v>
      </c>
    </row>
    <row r="310" spans="1:45" x14ac:dyDescent="0.35">
      <c r="A310" s="2" t="s">
        <v>929</v>
      </c>
      <c r="B310" s="3">
        <v>23800000</v>
      </c>
      <c r="C310" s="3">
        <v>22397284.620000001</v>
      </c>
      <c r="D310" s="3">
        <v>0</v>
      </c>
      <c r="E310" s="3">
        <v>22397284.620000001</v>
      </c>
      <c r="F310" s="3">
        <v>1402715.38</v>
      </c>
      <c r="G310" s="3">
        <v>23800000</v>
      </c>
      <c r="H310" s="3">
        <v>22397284.620000001</v>
      </c>
      <c r="I310" s="3">
        <v>0</v>
      </c>
      <c r="J310" s="3">
        <v>22397284.620000001</v>
      </c>
      <c r="K310" s="3">
        <v>1402715.38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23800000</v>
      </c>
      <c r="AG310" s="3">
        <v>22397284.620000001</v>
      </c>
      <c r="AH310" s="3">
        <v>0</v>
      </c>
      <c r="AI310" s="3">
        <v>22397284.620000001</v>
      </c>
      <c r="AJ310" s="3">
        <v>1402715.38</v>
      </c>
      <c r="AK310" s="2" t="s">
        <v>930</v>
      </c>
      <c r="AL310" s="2" t="s">
        <v>931</v>
      </c>
      <c r="AM310" s="3">
        <f>VLOOKUP(AL310,Table1[],2,FALSE)</f>
        <v>0</v>
      </c>
      <c r="AN310" s="3">
        <f>VLOOKUP(AL310,Table1[],3,FALSE)</f>
        <v>0</v>
      </c>
      <c r="AO310" s="3">
        <f>VLOOKUP($AL310,Table1[],4,FALSE)</f>
        <v>0</v>
      </c>
      <c r="AP310" s="3">
        <f>VLOOKUP($AL310,Table1[],5,FALSE)</f>
        <v>0</v>
      </c>
      <c r="AQ310" s="3">
        <f>VLOOKUP($AL310,Table1[],6,FALSE)</f>
        <v>0</v>
      </c>
      <c r="AR310" s="3">
        <f>VLOOKUP($AL310,Table1[],7,FALSE)</f>
        <v>0</v>
      </c>
      <c r="AS310" s="3">
        <f>VLOOKUP($AL310,Table1[],8,FALSE)</f>
        <v>0</v>
      </c>
    </row>
    <row r="311" spans="1:45" x14ac:dyDescent="0.35">
      <c r="A311" s="2" t="s">
        <v>932</v>
      </c>
      <c r="B311" s="3">
        <v>5721000</v>
      </c>
      <c r="C311" s="3">
        <v>5592720.1299999999</v>
      </c>
      <c r="D311" s="3">
        <v>127279.83</v>
      </c>
      <c r="E311" s="3">
        <v>5719999.96</v>
      </c>
      <c r="F311" s="3">
        <v>1000.04</v>
      </c>
      <c r="G311" s="3">
        <v>5721000</v>
      </c>
      <c r="H311" s="3">
        <v>5592720.1299999999</v>
      </c>
      <c r="I311" s="3">
        <v>127279.83</v>
      </c>
      <c r="J311" s="3">
        <v>5719999.96</v>
      </c>
      <c r="K311" s="3">
        <v>1000.04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5721000</v>
      </c>
      <c r="AG311" s="3">
        <v>5592720.1299999999</v>
      </c>
      <c r="AH311" s="3">
        <v>127279.83</v>
      </c>
      <c r="AI311" s="3">
        <v>5719999.96</v>
      </c>
      <c r="AJ311" s="3">
        <v>1000.04</v>
      </c>
      <c r="AK311" s="2" t="s">
        <v>933</v>
      </c>
      <c r="AL311" s="2" t="s">
        <v>934</v>
      </c>
      <c r="AM311" s="3">
        <f>VLOOKUP(AL311,Table1[],2,FALSE)</f>
        <v>0</v>
      </c>
      <c r="AN311" s="3">
        <f>VLOOKUP(AL311,Table1[],3,FALSE)</f>
        <v>0</v>
      </c>
      <c r="AO311" s="3">
        <f>VLOOKUP($AL311,Table1[],4,FALSE)</f>
        <v>0</v>
      </c>
      <c r="AP311" s="3">
        <f>VLOOKUP($AL311,Table1[],5,FALSE)</f>
        <v>0</v>
      </c>
      <c r="AQ311" s="3">
        <f>VLOOKUP($AL311,Table1[],6,FALSE)</f>
        <v>0</v>
      </c>
      <c r="AR311" s="3">
        <f>VLOOKUP($AL311,Table1[],7,FALSE)</f>
        <v>0</v>
      </c>
      <c r="AS311" s="3">
        <f>VLOOKUP($AL311,Table1[],8,FALSE)</f>
        <v>0</v>
      </c>
    </row>
    <row r="312" spans="1:45" x14ac:dyDescent="0.35">
      <c r="A312" s="2" t="s">
        <v>935</v>
      </c>
      <c r="B312" s="3">
        <v>5000000</v>
      </c>
      <c r="C312" s="3">
        <v>0</v>
      </c>
      <c r="D312" s="3">
        <v>0</v>
      </c>
      <c r="E312" s="3">
        <v>0</v>
      </c>
      <c r="F312" s="3">
        <v>5000000</v>
      </c>
      <c r="G312" s="3">
        <v>5000000</v>
      </c>
      <c r="H312" s="3">
        <v>0</v>
      </c>
      <c r="I312" s="3">
        <v>0</v>
      </c>
      <c r="J312" s="3">
        <v>0</v>
      </c>
      <c r="K312" s="3">
        <v>5000000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5000000</v>
      </c>
      <c r="AG312" s="3">
        <v>0</v>
      </c>
      <c r="AH312" s="3">
        <v>0</v>
      </c>
      <c r="AI312" s="3">
        <v>0</v>
      </c>
      <c r="AJ312" s="3">
        <v>5000000</v>
      </c>
      <c r="AK312" s="2" t="s">
        <v>936</v>
      </c>
      <c r="AL312" s="2" t="s">
        <v>937</v>
      </c>
      <c r="AM312" s="3" t="e">
        <f>VLOOKUP(AL312,Table1[],2,FALSE)</f>
        <v>#N/A</v>
      </c>
      <c r="AN312" s="3" t="e">
        <f>VLOOKUP(AL312,Table1[],3,FALSE)</f>
        <v>#N/A</v>
      </c>
      <c r="AO312" s="3" t="e">
        <f>VLOOKUP($AL312,Table1[],4,FALSE)</f>
        <v>#N/A</v>
      </c>
      <c r="AP312" s="3" t="e">
        <f>VLOOKUP($AL312,Table1[],5,FALSE)</f>
        <v>#N/A</v>
      </c>
      <c r="AQ312" s="3" t="e">
        <f>VLOOKUP($AL312,Table1[],6,FALSE)</f>
        <v>#N/A</v>
      </c>
      <c r="AR312" s="3" t="e">
        <f>VLOOKUP($AL312,Table1[],7,FALSE)</f>
        <v>#N/A</v>
      </c>
      <c r="AS312" s="3" t="e">
        <f>VLOOKUP($AL312,Table1[],8,FALSE)</f>
        <v>#N/A</v>
      </c>
    </row>
    <row r="313" spans="1:45" x14ac:dyDescent="0.35">
      <c r="A313" s="2" t="s">
        <v>938</v>
      </c>
      <c r="B313" s="3">
        <v>2000000</v>
      </c>
      <c r="C313" s="3">
        <v>0</v>
      </c>
      <c r="D313" s="3">
        <v>0</v>
      </c>
      <c r="E313" s="3">
        <v>0</v>
      </c>
      <c r="F313" s="3">
        <v>2000000</v>
      </c>
      <c r="G313" s="3">
        <v>2000000</v>
      </c>
      <c r="H313" s="3">
        <v>0</v>
      </c>
      <c r="I313" s="3">
        <v>0</v>
      </c>
      <c r="J313" s="3">
        <v>0</v>
      </c>
      <c r="K313" s="3">
        <v>2000000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2000000</v>
      </c>
      <c r="AG313" s="3">
        <v>0</v>
      </c>
      <c r="AH313" s="3">
        <v>0</v>
      </c>
      <c r="AI313" s="3">
        <v>0</v>
      </c>
      <c r="AJ313" s="3">
        <v>2000000</v>
      </c>
      <c r="AK313" s="2" t="s">
        <v>939</v>
      </c>
      <c r="AL313" s="2" t="s">
        <v>940</v>
      </c>
      <c r="AM313" s="3" t="e">
        <f>VLOOKUP(AL313,Table1[],2,FALSE)</f>
        <v>#N/A</v>
      </c>
      <c r="AN313" s="3" t="e">
        <f>VLOOKUP(AL313,Table1[],3,FALSE)</f>
        <v>#N/A</v>
      </c>
      <c r="AO313" s="3" t="e">
        <f>VLOOKUP($AL313,Table1[],4,FALSE)</f>
        <v>#N/A</v>
      </c>
      <c r="AP313" s="3" t="e">
        <f>VLOOKUP($AL313,Table1[],5,FALSE)</f>
        <v>#N/A</v>
      </c>
      <c r="AQ313" s="3" t="e">
        <f>VLOOKUP($AL313,Table1[],6,FALSE)</f>
        <v>#N/A</v>
      </c>
      <c r="AR313" s="3" t="e">
        <f>VLOOKUP($AL313,Table1[],7,FALSE)</f>
        <v>#N/A</v>
      </c>
      <c r="AS313" s="3" t="e">
        <f>VLOOKUP($AL313,Table1[],8,FALSE)</f>
        <v>#N/A</v>
      </c>
    </row>
    <row r="314" spans="1:45" x14ac:dyDescent="0.35">
      <c r="A314" s="2" t="s">
        <v>941</v>
      </c>
      <c r="B314" s="3">
        <v>1185101</v>
      </c>
      <c r="C314" s="3">
        <v>386077.96</v>
      </c>
      <c r="D314" s="3">
        <v>0</v>
      </c>
      <c r="E314" s="3">
        <v>386077.96</v>
      </c>
      <c r="F314" s="3">
        <v>799023.04</v>
      </c>
      <c r="G314" s="3">
        <v>85101</v>
      </c>
      <c r="H314" s="3">
        <v>85101</v>
      </c>
      <c r="I314" s="3">
        <v>0</v>
      </c>
      <c r="J314" s="3">
        <v>85101</v>
      </c>
      <c r="K314" s="3">
        <v>0</v>
      </c>
      <c r="L314" s="3">
        <v>1100000</v>
      </c>
      <c r="M314" s="3">
        <v>300976.96000000002</v>
      </c>
      <c r="N314" s="3">
        <v>0</v>
      </c>
      <c r="O314" s="3">
        <v>300976.96000000002</v>
      </c>
      <c r="P314" s="3">
        <v>799023.04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1185101</v>
      </c>
      <c r="AG314" s="3">
        <v>386077.96</v>
      </c>
      <c r="AH314" s="3">
        <v>0</v>
      </c>
      <c r="AI314" s="3">
        <v>386077.96</v>
      </c>
      <c r="AJ314" s="3">
        <v>799023.04</v>
      </c>
      <c r="AK314" s="2" t="s">
        <v>942</v>
      </c>
      <c r="AL314" s="2" t="s">
        <v>943</v>
      </c>
      <c r="AM314" s="3">
        <f>VLOOKUP(AL314,Table1[],2,FALSE)</f>
        <v>0</v>
      </c>
      <c r="AN314" s="3">
        <f>VLOOKUP(AL314,Table1[],3,FALSE)</f>
        <v>0</v>
      </c>
      <c r="AO314" s="3">
        <f>VLOOKUP($AL314,Table1[],4,FALSE)</f>
        <v>0</v>
      </c>
      <c r="AP314" s="3">
        <f>VLOOKUP($AL314,Table1[],5,FALSE)</f>
        <v>0</v>
      </c>
      <c r="AQ314" s="3">
        <f>VLOOKUP($AL314,Table1[],6,FALSE)</f>
        <v>0</v>
      </c>
      <c r="AR314" s="3">
        <f>VLOOKUP($AL314,Table1[],7,FALSE)</f>
        <v>0</v>
      </c>
      <c r="AS314" s="3">
        <f>VLOOKUP($AL314,Table1[],8,FALSE)</f>
        <v>0</v>
      </c>
    </row>
    <row r="315" spans="1:45" x14ac:dyDescent="0.35">
      <c r="A315" s="2" t="s">
        <v>944</v>
      </c>
      <c r="B315" s="3">
        <v>5000000</v>
      </c>
      <c r="C315" s="3">
        <v>0</v>
      </c>
      <c r="D315" s="3">
        <v>0</v>
      </c>
      <c r="E315" s="3">
        <v>0</v>
      </c>
      <c r="F315" s="3">
        <v>5000000</v>
      </c>
      <c r="G315" s="3">
        <v>5000000</v>
      </c>
      <c r="H315" s="3">
        <v>0</v>
      </c>
      <c r="I315" s="3">
        <v>0</v>
      </c>
      <c r="J315" s="3">
        <v>0</v>
      </c>
      <c r="K315" s="3">
        <v>5000000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5000000</v>
      </c>
      <c r="AG315" s="3">
        <v>0</v>
      </c>
      <c r="AH315" s="3">
        <v>0</v>
      </c>
      <c r="AI315" s="3">
        <v>0</v>
      </c>
      <c r="AJ315" s="3">
        <v>5000000</v>
      </c>
      <c r="AK315" s="2" t="s">
        <v>945</v>
      </c>
      <c r="AL315" s="2" t="s">
        <v>946</v>
      </c>
      <c r="AM315" s="3" t="e">
        <f>VLOOKUP(AL315,Table1[],2,FALSE)</f>
        <v>#N/A</v>
      </c>
      <c r="AN315" s="3" t="e">
        <f>VLOOKUP(AL315,Table1[],3,FALSE)</f>
        <v>#N/A</v>
      </c>
      <c r="AO315" s="3" t="e">
        <f>VLOOKUP($AL315,Table1[],4,FALSE)</f>
        <v>#N/A</v>
      </c>
      <c r="AP315" s="3" t="e">
        <f>VLOOKUP($AL315,Table1[],5,FALSE)</f>
        <v>#N/A</v>
      </c>
      <c r="AQ315" s="3" t="e">
        <f>VLOOKUP($AL315,Table1[],6,FALSE)</f>
        <v>#N/A</v>
      </c>
      <c r="AR315" s="3" t="e">
        <f>VLOOKUP($AL315,Table1[],7,FALSE)</f>
        <v>#N/A</v>
      </c>
      <c r="AS315" s="3" t="e">
        <f>VLOOKUP($AL315,Table1[],8,FALSE)</f>
        <v>#N/A</v>
      </c>
    </row>
    <row r="316" spans="1:45" x14ac:dyDescent="0.35">
      <c r="A316" s="2" t="s">
        <v>947</v>
      </c>
      <c r="B316" s="3">
        <v>5000000</v>
      </c>
      <c r="C316" s="3">
        <v>2811386.78</v>
      </c>
      <c r="D316" s="3">
        <v>1896727.35</v>
      </c>
      <c r="E316" s="3">
        <v>4708114.13</v>
      </c>
      <c r="F316" s="3">
        <v>291885.87</v>
      </c>
      <c r="G316" s="3">
        <v>2811386.78</v>
      </c>
      <c r="H316" s="3">
        <v>2811386.78</v>
      </c>
      <c r="I316" s="3">
        <v>0</v>
      </c>
      <c r="J316" s="3">
        <v>2811386.78</v>
      </c>
      <c r="K316" s="3">
        <v>0</v>
      </c>
      <c r="L316" s="3">
        <v>2188613.2200000002</v>
      </c>
      <c r="M316" s="3">
        <v>0</v>
      </c>
      <c r="N316" s="3">
        <v>1896727.35</v>
      </c>
      <c r="O316" s="3">
        <v>1896727.35</v>
      </c>
      <c r="P316" s="3">
        <v>291885.87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5000000</v>
      </c>
      <c r="AG316" s="3">
        <v>2811386.78</v>
      </c>
      <c r="AH316" s="3">
        <v>1896727.35</v>
      </c>
      <c r="AI316" s="3">
        <v>4708114.13</v>
      </c>
      <c r="AJ316" s="3">
        <v>291885.87</v>
      </c>
      <c r="AK316" s="2" t="s">
        <v>948</v>
      </c>
      <c r="AL316" s="2" t="s">
        <v>949</v>
      </c>
      <c r="AM316" s="3">
        <f>VLOOKUP(AL316,Table1[],2,FALSE)</f>
        <v>0</v>
      </c>
      <c r="AN316" s="3">
        <f>VLOOKUP(AL316,Table1[],3,FALSE)</f>
        <v>0</v>
      </c>
      <c r="AO316" s="3">
        <f>VLOOKUP($AL316,Table1[],4,FALSE)</f>
        <v>0</v>
      </c>
      <c r="AP316" s="3">
        <f>VLOOKUP($AL316,Table1[],5,FALSE)</f>
        <v>0</v>
      </c>
      <c r="AQ316" s="3">
        <f>VLOOKUP($AL316,Table1[],6,FALSE)</f>
        <v>0</v>
      </c>
      <c r="AR316" s="3">
        <f>VLOOKUP($AL316,Table1[],7,FALSE)</f>
        <v>0</v>
      </c>
      <c r="AS316" s="3">
        <f>VLOOKUP($AL316,Table1[],8,FALSE)</f>
        <v>0</v>
      </c>
    </row>
    <row r="317" spans="1:45" x14ac:dyDescent="0.35">
      <c r="A317" s="2" t="s">
        <v>950</v>
      </c>
      <c r="B317" s="3">
        <v>616900</v>
      </c>
      <c r="C317" s="3">
        <v>616900</v>
      </c>
      <c r="D317" s="3">
        <v>0</v>
      </c>
      <c r="E317" s="3">
        <v>616900</v>
      </c>
      <c r="F317" s="3">
        <v>0</v>
      </c>
      <c r="G317" s="3">
        <v>616900</v>
      </c>
      <c r="H317" s="3">
        <v>616900</v>
      </c>
      <c r="I317" s="3">
        <v>0</v>
      </c>
      <c r="J317" s="3">
        <v>616900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616900</v>
      </c>
      <c r="AG317" s="3">
        <v>616900</v>
      </c>
      <c r="AH317" s="3">
        <v>0</v>
      </c>
      <c r="AI317" s="3">
        <v>616900</v>
      </c>
      <c r="AJ317" s="3">
        <v>0</v>
      </c>
      <c r="AK317" s="2" t="s">
        <v>951</v>
      </c>
      <c r="AL317" s="2" t="s">
        <v>952</v>
      </c>
      <c r="AM317" s="3">
        <f>VLOOKUP(AL317,Table1[],2,FALSE)</f>
        <v>0</v>
      </c>
      <c r="AN317" s="3">
        <f>VLOOKUP(AL317,Table1[],3,FALSE)</f>
        <v>0</v>
      </c>
      <c r="AO317" s="3">
        <f>VLOOKUP($AL317,Table1[],4,FALSE)</f>
        <v>0</v>
      </c>
      <c r="AP317" s="3">
        <f>VLOOKUP($AL317,Table1[],5,FALSE)</f>
        <v>0</v>
      </c>
      <c r="AQ317" s="3">
        <f>VLOOKUP($AL317,Table1[],6,FALSE)</f>
        <v>0</v>
      </c>
      <c r="AR317" s="3">
        <f>VLOOKUP($AL317,Table1[],7,FALSE)</f>
        <v>0</v>
      </c>
      <c r="AS317" s="3">
        <f>VLOOKUP($AL317,Table1[],8,FALSE)</f>
        <v>0</v>
      </c>
    </row>
    <row r="318" spans="1:45" x14ac:dyDescent="0.35">
      <c r="A318" s="2" t="s">
        <v>953</v>
      </c>
      <c r="B318" s="3">
        <v>200000</v>
      </c>
      <c r="C318" s="3">
        <v>199936.62</v>
      </c>
      <c r="D318" s="3">
        <v>0</v>
      </c>
      <c r="E318" s="3">
        <v>199936.62</v>
      </c>
      <c r="F318" s="3">
        <v>63.38</v>
      </c>
      <c r="G318" s="3">
        <v>200000</v>
      </c>
      <c r="H318" s="3">
        <v>199936.62</v>
      </c>
      <c r="I318" s="3">
        <v>0</v>
      </c>
      <c r="J318" s="3">
        <v>199936.62</v>
      </c>
      <c r="K318" s="3">
        <v>63.38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200000</v>
      </c>
      <c r="AG318" s="3">
        <v>199936.62</v>
      </c>
      <c r="AH318" s="3">
        <v>0</v>
      </c>
      <c r="AI318" s="3">
        <v>199936.62</v>
      </c>
      <c r="AJ318" s="3">
        <v>63.38</v>
      </c>
      <c r="AK318" s="2" t="s">
        <v>954</v>
      </c>
      <c r="AL318" s="2" t="s">
        <v>955</v>
      </c>
      <c r="AM318" s="3">
        <f>VLOOKUP(AL318,Table1[],2,FALSE)</f>
        <v>0</v>
      </c>
      <c r="AN318" s="3">
        <f>VLOOKUP(AL318,Table1[],3,FALSE)</f>
        <v>0</v>
      </c>
      <c r="AO318" s="3">
        <f>VLOOKUP($AL318,Table1[],4,FALSE)</f>
        <v>0</v>
      </c>
      <c r="AP318" s="3">
        <f>VLOOKUP($AL318,Table1[],5,FALSE)</f>
        <v>0</v>
      </c>
      <c r="AQ318" s="3">
        <f>VLOOKUP($AL318,Table1[],6,FALSE)</f>
        <v>0</v>
      </c>
      <c r="AR318" s="3">
        <f>VLOOKUP($AL318,Table1[],7,FALSE)</f>
        <v>0</v>
      </c>
      <c r="AS318" s="3">
        <f>VLOOKUP($AL318,Table1[],8,FALSE)</f>
        <v>0</v>
      </c>
    </row>
    <row r="319" spans="1:45" x14ac:dyDescent="0.35">
      <c r="A319" s="2" t="s">
        <v>956</v>
      </c>
      <c r="B319" s="3">
        <v>2951011.91</v>
      </c>
      <c r="C319" s="3">
        <v>2950838.82</v>
      </c>
      <c r="D319" s="3">
        <v>0</v>
      </c>
      <c r="E319" s="3">
        <v>2950838.82</v>
      </c>
      <c r="F319" s="3">
        <v>173.09</v>
      </c>
      <c r="G319" s="3">
        <v>1951011.91</v>
      </c>
      <c r="H319" s="3">
        <v>1951011.91</v>
      </c>
      <c r="I319" s="3">
        <v>0</v>
      </c>
      <c r="J319" s="3">
        <v>1951011.91</v>
      </c>
      <c r="K319" s="3">
        <v>0</v>
      </c>
      <c r="L319" s="3">
        <v>1000000</v>
      </c>
      <c r="M319" s="3">
        <v>999826.91</v>
      </c>
      <c r="N319" s="3">
        <v>0</v>
      </c>
      <c r="O319" s="3">
        <v>999826.91</v>
      </c>
      <c r="P319" s="3">
        <v>173.09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2951011.91</v>
      </c>
      <c r="AG319" s="3">
        <v>2950838.82</v>
      </c>
      <c r="AH319" s="3">
        <v>0</v>
      </c>
      <c r="AI319" s="3">
        <v>2950838.82</v>
      </c>
      <c r="AJ319" s="3">
        <v>173.09</v>
      </c>
      <c r="AK319" s="2" t="s">
        <v>957</v>
      </c>
      <c r="AL319" s="2" t="s">
        <v>958</v>
      </c>
      <c r="AM319" s="3">
        <f>VLOOKUP(AL319,Table1[],2,FALSE)</f>
        <v>0</v>
      </c>
      <c r="AN319" s="3">
        <f>VLOOKUP(AL319,Table1[],3,FALSE)</f>
        <v>0</v>
      </c>
      <c r="AO319" s="3">
        <f>VLOOKUP($AL319,Table1[],4,FALSE)</f>
        <v>0</v>
      </c>
      <c r="AP319" s="3">
        <f>VLOOKUP($AL319,Table1[],5,FALSE)</f>
        <v>0</v>
      </c>
      <c r="AQ319" s="3">
        <f>VLOOKUP($AL319,Table1[],6,FALSE)</f>
        <v>0</v>
      </c>
      <c r="AR319" s="3">
        <f>VLOOKUP($AL319,Table1[],7,FALSE)</f>
        <v>0</v>
      </c>
      <c r="AS319" s="3">
        <f>VLOOKUP($AL319,Table1[],8,FALSE)</f>
        <v>0</v>
      </c>
    </row>
    <row r="320" spans="1:45" x14ac:dyDescent="0.35">
      <c r="A320" s="2" t="s">
        <v>959</v>
      </c>
      <c r="B320" s="3">
        <v>4000000</v>
      </c>
      <c r="C320" s="3">
        <v>0</v>
      </c>
      <c r="D320" s="3">
        <v>0</v>
      </c>
      <c r="E320" s="3">
        <v>0</v>
      </c>
      <c r="F320" s="3">
        <v>4000000</v>
      </c>
      <c r="G320" s="3">
        <v>4000000</v>
      </c>
      <c r="H320" s="3">
        <v>0</v>
      </c>
      <c r="I320" s="3">
        <v>0</v>
      </c>
      <c r="J320" s="3">
        <v>0</v>
      </c>
      <c r="K320" s="3">
        <v>4000000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4000000</v>
      </c>
      <c r="AG320" s="3">
        <v>0</v>
      </c>
      <c r="AH320" s="3">
        <v>0</v>
      </c>
      <c r="AI320" s="3">
        <v>0</v>
      </c>
      <c r="AJ320" s="3">
        <v>4000000</v>
      </c>
      <c r="AK320" s="2" t="s">
        <v>960</v>
      </c>
      <c r="AL320" s="2" t="s">
        <v>961</v>
      </c>
      <c r="AM320" s="3" t="e">
        <f>VLOOKUP(AL320,Table1[],2,FALSE)</f>
        <v>#N/A</v>
      </c>
      <c r="AN320" s="3" t="e">
        <f>VLOOKUP(AL320,Table1[],3,FALSE)</f>
        <v>#N/A</v>
      </c>
      <c r="AO320" s="3" t="e">
        <f>VLOOKUP($AL320,Table1[],4,FALSE)</f>
        <v>#N/A</v>
      </c>
      <c r="AP320" s="3" t="e">
        <f>VLOOKUP($AL320,Table1[],5,FALSE)</f>
        <v>#N/A</v>
      </c>
      <c r="AQ320" s="3" t="e">
        <f>VLOOKUP($AL320,Table1[],6,FALSE)</f>
        <v>#N/A</v>
      </c>
      <c r="AR320" s="3" t="e">
        <f>VLOOKUP($AL320,Table1[],7,FALSE)</f>
        <v>#N/A</v>
      </c>
      <c r="AS320" s="3" t="e">
        <f>VLOOKUP($AL320,Table1[],8,FALSE)</f>
        <v>#N/A</v>
      </c>
    </row>
    <row r="321" spans="1:45" x14ac:dyDescent="0.35">
      <c r="A321" s="2" t="s">
        <v>962</v>
      </c>
      <c r="B321" s="3">
        <v>4000000</v>
      </c>
      <c r="C321" s="3">
        <v>0</v>
      </c>
      <c r="D321" s="3">
        <v>98498.15</v>
      </c>
      <c r="E321" s="3">
        <v>98498.15</v>
      </c>
      <c r="F321" s="3">
        <v>3901501.85</v>
      </c>
      <c r="G321" s="3">
        <v>4000000</v>
      </c>
      <c r="H321" s="3">
        <v>0</v>
      </c>
      <c r="I321" s="3">
        <v>98498.15</v>
      </c>
      <c r="J321" s="3">
        <v>98498.15</v>
      </c>
      <c r="K321" s="3">
        <v>3901501.85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4000000</v>
      </c>
      <c r="AG321" s="3">
        <v>0</v>
      </c>
      <c r="AH321" s="3">
        <v>98498.15</v>
      </c>
      <c r="AI321" s="3">
        <v>98498.15</v>
      </c>
      <c r="AJ321" s="3">
        <v>3901501.85</v>
      </c>
      <c r="AK321" s="2" t="s">
        <v>963</v>
      </c>
      <c r="AL321" s="2" t="s">
        <v>964</v>
      </c>
      <c r="AM321" s="3" t="e">
        <f>VLOOKUP(AL321,Table1[],2,FALSE)</f>
        <v>#N/A</v>
      </c>
      <c r="AN321" s="3" t="e">
        <f>VLOOKUP(AL321,Table1[],3,FALSE)</f>
        <v>#N/A</v>
      </c>
      <c r="AO321" s="3" t="e">
        <f>VLOOKUP($AL321,Table1[],4,FALSE)</f>
        <v>#N/A</v>
      </c>
      <c r="AP321" s="3" t="e">
        <f>VLOOKUP($AL321,Table1[],5,FALSE)</f>
        <v>#N/A</v>
      </c>
      <c r="AQ321" s="3" t="e">
        <f>VLOOKUP($AL321,Table1[],6,FALSE)</f>
        <v>#N/A</v>
      </c>
      <c r="AR321" s="3" t="e">
        <f>VLOOKUP($AL321,Table1[],7,FALSE)</f>
        <v>#N/A</v>
      </c>
      <c r="AS321" s="3" t="e">
        <f>VLOOKUP($AL321,Table1[],8,FALSE)</f>
        <v>#N/A</v>
      </c>
    </row>
    <row r="322" spans="1:45" x14ac:dyDescent="0.35">
      <c r="A322" s="2" t="s">
        <v>965</v>
      </c>
      <c r="B322" s="3">
        <v>4000000</v>
      </c>
      <c r="C322" s="3">
        <v>0</v>
      </c>
      <c r="D322" s="3">
        <v>0</v>
      </c>
      <c r="E322" s="3">
        <v>0</v>
      </c>
      <c r="F322" s="3">
        <v>4000000</v>
      </c>
      <c r="G322" s="3">
        <v>4000000</v>
      </c>
      <c r="H322" s="3">
        <v>0</v>
      </c>
      <c r="I322" s="3">
        <v>0</v>
      </c>
      <c r="J322" s="3">
        <v>0</v>
      </c>
      <c r="K322" s="3">
        <v>4000000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4000000</v>
      </c>
      <c r="AG322" s="3">
        <v>0</v>
      </c>
      <c r="AH322" s="3">
        <v>0</v>
      </c>
      <c r="AI322" s="3">
        <v>0</v>
      </c>
      <c r="AJ322" s="3">
        <v>4000000</v>
      </c>
      <c r="AK322" s="2" t="s">
        <v>966</v>
      </c>
      <c r="AL322" s="2" t="s">
        <v>967</v>
      </c>
      <c r="AM322" s="3" t="e">
        <f>VLOOKUP(AL322,Table1[],2,FALSE)</f>
        <v>#N/A</v>
      </c>
      <c r="AN322" s="3" t="e">
        <f>VLOOKUP(AL322,Table1[],3,FALSE)</f>
        <v>#N/A</v>
      </c>
      <c r="AO322" s="3" t="e">
        <f>VLOOKUP($AL322,Table1[],4,FALSE)</f>
        <v>#N/A</v>
      </c>
      <c r="AP322" s="3" t="e">
        <f>VLOOKUP($AL322,Table1[],5,FALSE)</f>
        <v>#N/A</v>
      </c>
      <c r="AQ322" s="3" t="e">
        <f>VLOOKUP($AL322,Table1[],6,FALSE)</f>
        <v>#N/A</v>
      </c>
      <c r="AR322" s="3" t="e">
        <f>VLOOKUP($AL322,Table1[],7,FALSE)</f>
        <v>#N/A</v>
      </c>
      <c r="AS322" s="3" t="e">
        <f>VLOOKUP($AL322,Table1[],8,FALSE)</f>
        <v>#N/A</v>
      </c>
    </row>
    <row r="323" spans="1:45" x14ac:dyDescent="0.35">
      <c r="A323" s="2" t="s">
        <v>968</v>
      </c>
      <c r="B323" s="3">
        <v>1500000</v>
      </c>
      <c r="C323" s="3">
        <v>0</v>
      </c>
      <c r="D323" s="3">
        <v>0</v>
      </c>
      <c r="E323" s="3">
        <v>0</v>
      </c>
      <c r="F323" s="3">
        <v>1500000</v>
      </c>
      <c r="G323" s="3">
        <v>1500000</v>
      </c>
      <c r="H323" s="3">
        <v>0</v>
      </c>
      <c r="I323" s="3">
        <v>0</v>
      </c>
      <c r="J323" s="3">
        <v>0</v>
      </c>
      <c r="K323" s="3">
        <v>1500000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1500000</v>
      </c>
      <c r="AG323" s="3">
        <v>0</v>
      </c>
      <c r="AH323" s="3">
        <v>0</v>
      </c>
      <c r="AI323" s="3">
        <v>0</v>
      </c>
      <c r="AJ323" s="3">
        <v>1500000</v>
      </c>
      <c r="AK323" s="2" t="s">
        <v>969</v>
      </c>
      <c r="AL323" s="2" t="s">
        <v>970</v>
      </c>
      <c r="AM323" s="3" t="e">
        <f>VLOOKUP(AL323,Table1[],2,FALSE)</f>
        <v>#N/A</v>
      </c>
      <c r="AN323" s="3" t="e">
        <f>VLOOKUP(AL323,Table1[],3,FALSE)</f>
        <v>#N/A</v>
      </c>
      <c r="AO323" s="3" t="e">
        <f>VLOOKUP($AL323,Table1[],4,FALSE)</f>
        <v>#N/A</v>
      </c>
      <c r="AP323" s="3" t="e">
        <f>VLOOKUP($AL323,Table1[],5,FALSE)</f>
        <v>#N/A</v>
      </c>
      <c r="AQ323" s="3" t="e">
        <f>VLOOKUP($AL323,Table1[],6,FALSE)</f>
        <v>#N/A</v>
      </c>
      <c r="AR323" s="3" t="e">
        <f>VLOOKUP($AL323,Table1[],7,FALSE)</f>
        <v>#N/A</v>
      </c>
      <c r="AS323" s="3" t="e">
        <f>VLOOKUP($AL323,Table1[],8,FALSE)</f>
        <v>#N/A</v>
      </c>
    </row>
    <row r="324" spans="1:45" x14ac:dyDescent="0.35">
      <c r="A324" s="2" t="s">
        <v>971</v>
      </c>
      <c r="B324" s="3">
        <v>1500000</v>
      </c>
      <c r="C324" s="3">
        <v>0</v>
      </c>
      <c r="D324" s="3">
        <v>0</v>
      </c>
      <c r="E324" s="3">
        <v>0</v>
      </c>
      <c r="F324" s="3">
        <v>1500000</v>
      </c>
      <c r="G324" s="3">
        <v>1500000</v>
      </c>
      <c r="H324" s="3">
        <v>0</v>
      </c>
      <c r="I324" s="3">
        <v>0</v>
      </c>
      <c r="J324" s="3">
        <v>0</v>
      </c>
      <c r="K324" s="3">
        <v>1500000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1500000</v>
      </c>
      <c r="AG324" s="3">
        <v>0</v>
      </c>
      <c r="AH324" s="3">
        <v>0</v>
      </c>
      <c r="AI324" s="3">
        <v>0</v>
      </c>
      <c r="AJ324" s="3">
        <v>1500000</v>
      </c>
      <c r="AK324" s="2" t="s">
        <v>972</v>
      </c>
      <c r="AL324" s="2" t="s">
        <v>973</v>
      </c>
      <c r="AM324" s="3" t="e">
        <f>VLOOKUP(AL324,Table1[],2,FALSE)</f>
        <v>#N/A</v>
      </c>
      <c r="AN324" s="3" t="e">
        <f>VLOOKUP(AL324,Table1[],3,FALSE)</f>
        <v>#N/A</v>
      </c>
      <c r="AO324" s="3" t="e">
        <f>VLOOKUP($AL324,Table1[],4,FALSE)</f>
        <v>#N/A</v>
      </c>
      <c r="AP324" s="3" t="e">
        <f>VLOOKUP($AL324,Table1[],5,FALSE)</f>
        <v>#N/A</v>
      </c>
      <c r="AQ324" s="3" t="e">
        <f>VLOOKUP($AL324,Table1[],6,FALSE)</f>
        <v>#N/A</v>
      </c>
      <c r="AR324" s="3" t="e">
        <f>VLOOKUP($AL324,Table1[],7,FALSE)</f>
        <v>#N/A</v>
      </c>
      <c r="AS324" s="3" t="e">
        <f>VLOOKUP($AL324,Table1[],8,FALSE)</f>
        <v>#N/A</v>
      </c>
    </row>
    <row r="325" spans="1:45" x14ac:dyDescent="0.35">
      <c r="A325" s="2" t="s">
        <v>974</v>
      </c>
      <c r="B325" s="3">
        <v>4000000</v>
      </c>
      <c r="C325" s="3">
        <v>0</v>
      </c>
      <c r="D325" s="3">
        <v>0</v>
      </c>
      <c r="E325" s="3">
        <v>0</v>
      </c>
      <c r="F325" s="3">
        <v>4000000</v>
      </c>
      <c r="G325" s="3">
        <v>4000000</v>
      </c>
      <c r="H325" s="3">
        <v>0</v>
      </c>
      <c r="I325" s="3">
        <v>0</v>
      </c>
      <c r="J325" s="3">
        <v>0</v>
      </c>
      <c r="K325" s="3">
        <v>4000000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4000000</v>
      </c>
      <c r="AG325" s="3">
        <v>0</v>
      </c>
      <c r="AH325" s="3">
        <v>0</v>
      </c>
      <c r="AI325" s="3">
        <v>0</v>
      </c>
      <c r="AJ325" s="3">
        <v>4000000</v>
      </c>
      <c r="AK325" s="2" t="s">
        <v>975</v>
      </c>
      <c r="AL325" s="2" t="s">
        <v>976</v>
      </c>
      <c r="AM325" s="3" t="e">
        <f>VLOOKUP(AL325,Table1[],2,FALSE)</f>
        <v>#N/A</v>
      </c>
      <c r="AN325" s="3" t="e">
        <f>VLOOKUP(AL325,Table1[],3,FALSE)</f>
        <v>#N/A</v>
      </c>
      <c r="AO325" s="3" t="e">
        <f>VLOOKUP($AL325,Table1[],4,FALSE)</f>
        <v>#N/A</v>
      </c>
      <c r="AP325" s="3" t="e">
        <f>VLOOKUP($AL325,Table1[],5,FALSE)</f>
        <v>#N/A</v>
      </c>
      <c r="AQ325" s="3" t="e">
        <f>VLOOKUP($AL325,Table1[],6,FALSE)</f>
        <v>#N/A</v>
      </c>
      <c r="AR325" s="3" t="e">
        <f>VLOOKUP($AL325,Table1[],7,FALSE)</f>
        <v>#N/A</v>
      </c>
      <c r="AS325" s="3" t="e">
        <f>VLOOKUP($AL325,Table1[],8,FALSE)</f>
        <v>#N/A</v>
      </c>
    </row>
    <row r="326" spans="1:45" x14ac:dyDescent="0.35">
      <c r="A326" s="2" t="s">
        <v>977</v>
      </c>
      <c r="B326" s="3">
        <v>4000000</v>
      </c>
      <c r="C326" s="3">
        <v>0</v>
      </c>
      <c r="D326" s="3">
        <v>0</v>
      </c>
      <c r="E326" s="3">
        <v>0</v>
      </c>
      <c r="F326" s="3">
        <v>4000000</v>
      </c>
      <c r="G326" s="3">
        <v>4000000</v>
      </c>
      <c r="H326" s="3">
        <v>0</v>
      </c>
      <c r="I326" s="3">
        <v>0</v>
      </c>
      <c r="J326" s="3">
        <v>0</v>
      </c>
      <c r="K326" s="3">
        <v>4000000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4000000</v>
      </c>
      <c r="AG326" s="3">
        <v>0</v>
      </c>
      <c r="AH326" s="3">
        <v>0</v>
      </c>
      <c r="AI326" s="3">
        <v>0</v>
      </c>
      <c r="AJ326" s="3">
        <v>4000000</v>
      </c>
      <c r="AK326" s="2" t="s">
        <v>978</v>
      </c>
      <c r="AL326" s="2" t="s">
        <v>979</v>
      </c>
      <c r="AM326" s="3" t="e">
        <f>VLOOKUP(AL326,Table1[],2,FALSE)</f>
        <v>#N/A</v>
      </c>
      <c r="AN326" s="3" t="e">
        <f>VLOOKUP(AL326,Table1[],3,FALSE)</f>
        <v>#N/A</v>
      </c>
      <c r="AO326" s="3" t="e">
        <f>VLOOKUP($AL326,Table1[],4,FALSE)</f>
        <v>#N/A</v>
      </c>
      <c r="AP326" s="3" t="e">
        <f>VLOOKUP($AL326,Table1[],5,FALSE)</f>
        <v>#N/A</v>
      </c>
      <c r="AQ326" s="3" t="e">
        <f>VLOOKUP($AL326,Table1[],6,FALSE)</f>
        <v>#N/A</v>
      </c>
      <c r="AR326" s="3" t="e">
        <f>VLOOKUP($AL326,Table1[],7,FALSE)</f>
        <v>#N/A</v>
      </c>
      <c r="AS326" s="3" t="e">
        <f>VLOOKUP($AL326,Table1[],8,FALSE)</f>
        <v>#N/A</v>
      </c>
    </row>
    <row r="327" spans="1:45" x14ac:dyDescent="0.35">
      <c r="A327" s="2" t="s">
        <v>980</v>
      </c>
      <c r="B327" s="3">
        <v>5000000</v>
      </c>
      <c r="C327" s="3">
        <v>1242051.68</v>
      </c>
      <c r="D327" s="3">
        <v>2898921.34</v>
      </c>
      <c r="E327" s="3">
        <v>4140973.02</v>
      </c>
      <c r="F327" s="3">
        <v>859026.98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5000000</v>
      </c>
      <c r="M327" s="3">
        <v>1242051.68</v>
      </c>
      <c r="N327" s="3">
        <v>2898921.34</v>
      </c>
      <c r="O327" s="3">
        <v>4140973.02</v>
      </c>
      <c r="P327" s="3">
        <v>859026.98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5000000</v>
      </c>
      <c r="AG327" s="3">
        <v>1242051.68</v>
      </c>
      <c r="AH327" s="3">
        <v>2898921.34</v>
      </c>
      <c r="AI327" s="3">
        <v>4140973.02</v>
      </c>
      <c r="AJ327" s="3">
        <v>859026.98</v>
      </c>
      <c r="AK327" s="2" t="s">
        <v>981</v>
      </c>
      <c r="AL327" s="2" t="s">
        <v>982</v>
      </c>
      <c r="AM327" s="3">
        <f>VLOOKUP(AL327,Table1[],2,FALSE)</f>
        <v>0</v>
      </c>
      <c r="AN327" s="3">
        <f>VLOOKUP(AL327,Table1[],3,FALSE)</f>
        <v>0</v>
      </c>
      <c r="AO327" s="3">
        <f>VLOOKUP($AL327,Table1[],4,FALSE)</f>
        <v>0</v>
      </c>
      <c r="AP327" s="3">
        <f>VLOOKUP($AL327,Table1[],5,FALSE)</f>
        <v>0</v>
      </c>
      <c r="AQ327" s="3">
        <f>VLOOKUP($AL327,Table1[],6,FALSE)</f>
        <v>0</v>
      </c>
      <c r="AR327" s="3">
        <f>VLOOKUP($AL327,Table1[],7,FALSE)</f>
        <v>0</v>
      </c>
      <c r="AS327" s="3">
        <f>VLOOKUP($AL327,Table1[],8,FALSE)</f>
        <v>0</v>
      </c>
    </row>
    <row r="328" spans="1:45" x14ac:dyDescent="0.35">
      <c r="A328" s="2" t="s">
        <v>983</v>
      </c>
      <c r="B328" s="3">
        <v>1500000</v>
      </c>
      <c r="C328" s="3">
        <v>0</v>
      </c>
      <c r="D328" s="3">
        <v>0</v>
      </c>
      <c r="E328" s="3">
        <v>0</v>
      </c>
      <c r="F328" s="3">
        <v>1500000</v>
      </c>
      <c r="G328" s="3">
        <v>1500000</v>
      </c>
      <c r="H328" s="3">
        <v>0</v>
      </c>
      <c r="I328" s="3">
        <v>0</v>
      </c>
      <c r="J328" s="3">
        <v>0</v>
      </c>
      <c r="K328" s="3">
        <v>1500000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1500000</v>
      </c>
      <c r="AG328" s="3">
        <v>0</v>
      </c>
      <c r="AH328" s="3">
        <v>0</v>
      </c>
      <c r="AI328" s="3">
        <v>0</v>
      </c>
      <c r="AJ328" s="3">
        <v>1500000</v>
      </c>
      <c r="AK328" s="2" t="s">
        <v>984</v>
      </c>
      <c r="AL328" s="2" t="s">
        <v>985</v>
      </c>
      <c r="AM328" s="3" t="e">
        <f>VLOOKUP(AL328,Table1[],2,FALSE)</f>
        <v>#N/A</v>
      </c>
      <c r="AN328" s="3" t="e">
        <f>VLOOKUP(AL328,Table1[],3,FALSE)</f>
        <v>#N/A</v>
      </c>
      <c r="AO328" s="3" t="e">
        <f>VLOOKUP($AL328,Table1[],4,FALSE)</f>
        <v>#N/A</v>
      </c>
      <c r="AP328" s="3" t="e">
        <f>VLOOKUP($AL328,Table1[],5,FALSE)</f>
        <v>#N/A</v>
      </c>
      <c r="AQ328" s="3" t="e">
        <f>VLOOKUP($AL328,Table1[],6,FALSE)</f>
        <v>#N/A</v>
      </c>
      <c r="AR328" s="3" t="e">
        <f>VLOOKUP($AL328,Table1[],7,FALSE)</f>
        <v>#N/A</v>
      </c>
      <c r="AS328" s="3" t="e">
        <f>VLOOKUP($AL328,Table1[],8,FALSE)</f>
        <v>#N/A</v>
      </c>
    </row>
    <row r="329" spans="1:45" x14ac:dyDescent="0.35">
      <c r="A329" s="2" t="s">
        <v>986</v>
      </c>
      <c r="B329" s="3">
        <v>1500000</v>
      </c>
      <c r="C329" s="3">
        <v>0</v>
      </c>
      <c r="D329" s="3">
        <v>0</v>
      </c>
      <c r="E329" s="3">
        <v>0</v>
      </c>
      <c r="F329" s="3">
        <v>1500000</v>
      </c>
      <c r="G329" s="3">
        <v>1500000</v>
      </c>
      <c r="H329" s="3">
        <v>0</v>
      </c>
      <c r="I329" s="3">
        <v>0</v>
      </c>
      <c r="J329" s="3">
        <v>0</v>
      </c>
      <c r="K329" s="3">
        <v>1500000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1500000</v>
      </c>
      <c r="AG329" s="3">
        <v>0</v>
      </c>
      <c r="AH329" s="3">
        <v>0</v>
      </c>
      <c r="AI329" s="3">
        <v>0</v>
      </c>
      <c r="AJ329" s="3">
        <v>1500000</v>
      </c>
      <c r="AK329" s="2" t="s">
        <v>987</v>
      </c>
      <c r="AL329" s="2" t="s">
        <v>988</v>
      </c>
      <c r="AM329" s="3" t="e">
        <f>VLOOKUP(AL329,Table1[],2,FALSE)</f>
        <v>#N/A</v>
      </c>
      <c r="AN329" s="3" t="e">
        <f>VLOOKUP(AL329,Table1[],3,FALSE)</f>
        <v>#N/A</v>
      </c>
      <c r="AO329" s="3" t="e">
        <f>VLOOKUP($AL329,Table1[],4,FALSE)</f>
        <v>#N/A</v>
      </c>
      <c r="AP329" s="3" t="e">
        <f>VLOOKUP($AL329,Table1[],5,FALSE)</f>
        <v>#N/A</v>
      </c>
      <c r="AQ329" s="3" t="e">
        <f>VLOOKUP($AL329,Table1[],6,FALSE)</f>
        <v>#N/A</v>
      </c>
      <c r="AR329" s="3" t="e">
        <f>VLOOKUP($AL329,Table1[],7,FALSE)</f>
        <v>#N/A</v>
      </c>
      <c r="AS329" s="3" t="e">
        <f>VLOOKUP($AL329,Table1[],8,FALSE)</f>
        <v>#N/A</v>
      </c>
    </row>
    <row r="330" spans="1:45" x14ac:dyDescent="0.35">
      <c r="A330" s="2" t="s">
        <v>989</v>
      </c>
      <c r="B330" s="3">
        <v>4000000</v>
      </c>
      <c r="C330" s="3">
        <v>992101.83</v>
      </c>
      <c r="D330" s="3">
        <v>2901677.83</v>
      </c>
      <c r="E330" s="3">
        <v>3893779.66</v>
      </c>
      <c r="F330" s="3">
        <v>106220.34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4000000</v>
      </c>
      <c r="M330" s="3">
        <v>992101.83</v>
      </c>
      <c r="N330" s="3">
        <v>2901677.83</v>
      </c>
      <c r="O330" s="3">
        <v>3893779.66</v>
      </c>
      <c r="P330" s="3">
        <v>106220.34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4000000</v>
      </c>
      <c r="AG330" s="3">
        <v>992101.83</v>
      </c>
      <c r="AH330" s="3">
        <v>2901677.83</v>
      </c>
      <c r="AI330" s="3">
        <v>3893779.66</v>
      </c>
      <c r="AJ330" s="3">
        <v>106220.34</v>
      </c>
      <c r="AK330" s="2" t="s">
        <v>990</v>
      </c>
      <c r="AL330" s="2" t="s">
        <v>991</v>
      </c>
      <c r="AM330" s="3">
        <f>VLOOKUP(AL330,Table1[],2,FALSE)</f>
        <v>0</v>
      </c>
      <c r="AN330" s="3">
        <f>VLOOKUP(AL330,Table1[],3,FALSE)</f>
        <v>0</v>
      </c>
      <c r="AO330" s="3">
        <f>VLOOKUP($AL330,Table1[],4,FALSE)</f>
        <v>0</v>
      </c>
      <c r="AP330" s="3">
        <f>VLOOKUP($AL330,Table1[],5,FALSE)</f>
        <v>0</v>
      </c>
      <c r="AQ330" s="3">
        <f>VLOOKUP($AL330,Table1[],6,FALSE)</f>
        <v>0</v>
      </c>
      <c r="AR330" s="3">
        <f>VLOOKUP($AL330,Table1[],7,FALSE)</f>
        <v>0</v>
      </c>
      <c r="AS330" s="3">
        <f>VLOOKUP($AL330,Table1[],8,FALSE)</f>
        <v>0</v>
      </c>
    </row>
    <row r="331" spans="1:45" x14ac:dyDescent="0.35">
      <c r="A331" s="2" t="s">
        <v>992</v>
      </c>
      <c r="B331" s="3">
        <v>1500000</v>
      </c>
      <c r="C331" s="3">
        <v>1050269.6200000001</v>
      </c>
      <c r="D331" s="3">
        <v>0.03</v>
      </c>
      <c r="E331" s="3">
        <v>1050269.6499999999</v>
      </c>
      <c r="F331" s="3">
        <v>449730.35</v>
      </c>
      <c r="G331" s="3">
        <v>1500000</v>
      </c>
      <c r="H331" s="3">
        <v>1050269.6200000001</v>
      </c>
      <c r="I331" s="3">
        <v>0.03</v>
      </c>
      <c r="J331" s="3">
        <v>1050269.6499999999</v>
      </c>
      <c r="K331" s="3">
        <v>449730.35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1500000</v>
      </c>
      <c r="AG331" s="3">
        <v>1050269.6200000001</v>
      </c>
      <c r="AH331" s="3">
        <v>0.03</v>
      </c>
      <c r="AI331" s="3">
        <v>1050269.6499999999</v>
      </c>
      <c r="AJ331" s="3">
        <v>449730.35</v>
      </c>
      <c r="AK331" s="2" t="s">
        <v>993</v>
      </c>
      <c r="AL331" s="2" t="s">
        <v>994</v>
      </c>
      <c r="AM331" s="3">
        <f>VLOOKUP(AL331,Table1[],2,FALSE)</f>
        <v>0</v>
      </c>
      <c r="AN331" s="3">
        <f>VLOOKUP(AL331,Table1[],3,FALSE)</f>
        <v>0</v>
      </c>
      <c r="AO331" s="3">
        <f>VLOOKUP($AL331,Table1[],4,FALSE)</f>
        <v>0</v>
      </c>
      <c r="AP331" s="3">
        <f>VLOOKUP($AL331,Table1[],5,FALSE)</f>
        <v>0</v>
      </c>
      <c r="AQ331" s="3">
        <f>VLOOKUP($AL331,Table1[],6,FALSE)</f>
        <v>0</v>
      </c>
      <c r="AR331" s="3">
        <f>VLOOKUP($AL331,Table1[],7,FALSE)</f>
        <v>0</v>
      </c>
      <c r="AS331" s="3">
        <f>VLOOKUP($AL331,Table1[],8,FALSE)</f>
        <v>0</v>
      </c>
    </row>
    <row r="332" spans="1:45" x14ac:dyDescent="0.35">
      <c r="A332" s="2" t="s">
        <v>995</v>
      </c>
      <c r="B332" s="3">
        <v>2100000</v>
      </c>
      <c r="C332" s="3">
        <v>1362530.91</v>
      </c>
      <c r="D332" s="3">
        <v>400199.6</v>
      </c>
      <c r="E332" s="3">
        <v>1762730.51</v>
      </c>
      <c r="F332" s="3">
        <v>337269.49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2100000</v>
      </c>
      <c r="M332" s="3">
        <v>1362530.91</v>
      </c>
      <c r="N332" s="3">
        <v>400199.6</v>
      </c>
      <c r="O332" s="3">
        <v>1762730.51</v>
      </c>
      <c r="P332" s="3">
        <v>337269.49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2100000</v>
      </c>
      <c r="AG332" s="3">
        <v>1362530.91</v>
      </c>
      <c r="AH332" s="3">
        <v>400199.6</v>
      </c>
      <c r="AI332" s="3">
        <v>1762730.51</v>
      </c>
      <c r="AJ332" s="3">
        <v>337269.49</v>
      </c>
      <c r="AK332" s="2" t="s">
        <v>996</v>
      </c>
      <c r="AL332" s="2" t="s">
        <v>997</v>
      </c>
      <c r="AM332" s="3">
        <f>VLOOKUP(AL332,Table1[],2,FALSE)</f>
        <v>0</v>
      </c>
      <c r="AN332" s="3">
        <f>VLOOKUP(AL332,Table1[],3,FALSE)</f>
        <v>0</v>
      </c>
      <c r="AO332" s="3">
        <f>VLOOKUP($AL332,Table1[],4,FALSE)</f>
        <v>0</v>
      </c>
      <c r="AP332" s="3">
        <f>VLOOKUP($AL332,Table1[],5,FALSE)</f>
        <v>0</v>
      </c>
      <c r="AQ332" s="3">
        <f>VLOOKUP($AL332,Table1[],6,FALSE)</f>
        <v>0</v>
      </c>
      <c r="AR332" s="3">
        <f>VLOOKUP($AL332,Table1[],7,FALSE)</f>
        <v>0</v>
      </c>
      <c r="AS332" s="3">
        <f>VLOOKUP($AL332,Table1[],8,FALSE)</f>
        <v>0</v>
      </c>
    </row>
    <row r="333" spans="1:45" x14ac:dyDescent="0.35">
      <c r="A333" s="2" t="s">
        <v>998</v>
      </c>
      <c r="B333" s="3">
        <v>7500000</v>
      </c>
      <c r="C333" s="3">
        <v>0</v>
      </c>
      <c r="D333" s="3">
        <v>0</v>
      </c>
      <c r="E333" s="3">
        <v>0</v>
      </c>
      <c r="F333" s="3">
        <v>7500000</v>
      </c>
      <c r="G333" s="3">
        <v>7500000</v>
      </c>
      <c r="H333" s="3">
        <v>0</v>
      </c>
      <c r="I333" s="3">
        <v>0</v>
      </c>
      <c r="J333" s="3">
        <v>0</v>
      </c>
      <c r="K333" s="3">
        <v>7500000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7500000</v>
      </c>
      <c r="AG333" s="3">
        <v>0</v>
      </c>
      <c r="AH333" s="3">
        <v>0</v>
      </c>
      <c r="AI333" s="3">
        <v>0</v>
      </c>
      <c r="AJ333" s="3">
        <v>7500000</v>
      </c>
      <c r="AK333" s="2" t="s">
        <v>999</v>
      </c>
      <c r="AL333" s="2" t="s">
        <v>1000</v>
      </c>
      <c r="AM333" s="3" t="e">
        <f>VLOOKUP(AL333,Table1[],2,FALSE)</f>
        <v>#N/A</v>
      </c>
      <c r="AN333" s="3" t="e">
        <f>VLOOKUP(AL333,Table1[],3,FALSE)</f>
        <v>#N/A</v>
      </c>
      <c r="AO333" s="3" t="e">
        <f>VLOOKUP($AL333,Table1[],4,FALSE)</f>
        <v>#N/A</v>
      </c>
      <c r="AP333" s="3" t="e">
        <f>VLOOKUP($AL333,Table1[],5,FALSE)</f>
        <v>#N/A</v>
      </c>
      <c r="AQ333" s="3" t="e">
        <f>VLOOKUP($AL333,Table1[],6,FALSE)</f>
        <v>#N/A</v>
      </c>
      <c r="AR333" s="3" t="e">
        <f>VLOOKUP($AL333,Table1[],7,FALSE)</f>
        <v>#N/A</v>
      </c>
      <c r="AS333" s="3" t="e">
        <f>VLOOKUP($AL333,Table1[],8,FALSE)</f>
        <v>#N/A</v>
      </c>
    </row>
    <row r="334" spans="1:45" x14ac:dyDescent="0.35">
      <c r="A334" s="2" t="s">
        <v>1001</v>
      </c>
      <c r="B334" s="3">
        <v>3000000</v>
      </c>
      <c r="C334" s="3">
        <v>0</v>
      </c>
      <c r="D334" s="3">
        <v>0</v>
      </c>
      <c r="E334" s="3">
        <v>0</v>
      </c>
      <c r="F334" s="3">
        <v>3000000</v>
      </c>
      <c r="G334" s="3">
        <v>3000000</v>
      </c>
      <c r="H334" s="3">
        <v>0</v>
      </c>
      <c r="I334" s="3">
        <v>0</v>
      </c>
      <c r="J334" s="3">
        <v>0</v>
      </c>
      <c r="K334" s="3">
        <v>3000000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3000000</v>
      </c>
      <c r="AG334" s="3">
        <v>0</v>
      </c>
      <c r="AH334" s="3">
        <v>0</v>
      </c>
      <c r="AI334" s="3">
        <v>0</v>
      </c>
      <c r="AJ334" s="3">
        <v>3000000</v>
      </c>
      <c r="AK334" s="2" t="s">
        <v>1002</v>
      </c>
      <c r="AL334" s="2" t="s">
        <v>1003</v>
      </c>
      <c r="AM334" s="3" t="e">
        <f>VLOOKUP(AL334,Table1[],2,FALSE)</f>
        <v>#N/A</v>
      </c>
      <c r="AN334" s="3" t="e">
        <f>VLOOKUP(AL334,Table1[],3,FALSE)</f>
        <v>#N/A</v>
      </c>
      <c r="AO334" s="3" t="e">
        <f>VLOOKUP($AL334,Table1[],4,FALSE)</f>
        <v>#N/A</v>
      </c>
      <c r="AP334" s="3" t="e">
        <f>VLOOKUP($AL334,Table1[],5,FALSE)</f>
        <v>#N/A</v>
      </c>
      <c r="AQ334" s="3" t="e">
        <f>VLOOKUP($AL334,Table1[],6,FALSE)</f>
        <v>#N/A</v>
      </c>
      <c r="AR334" s="3" t="e">
        <f>VLOOKUP($AL334,Table1[],7,FALSE)</f>
        <v>#N/A</v>
      </c>
      <c r="AS334" s="3" t="e">
        <f>VLOOKUP($AL334,Table1[],8,FALSE)</f>
        <v>#N/A</v>
      </c>
    </row>
    <row r="335" spans="1:45" x14ac:dyDescent="0.35">
      <c r="A335" s="2" t="s">
        <v>1004</v>
      </c>
      <c r="B335" s="3">
        <v>2000000</v>
      </c>
      <c r="C335" s="3">
        <v>0</v>
      </c>
      <c r="D335" s="3">
        <v>0</v>
      </c>
      <c r="E335" s="3">
        <v>0</v>
      </c>
      <c r="F335" s="3">
        <v>2000000</v>
      </c>
      <c r="G335" s="3">
        <v>2000000</v>
      </c>
      <c r="H335" s="3">
        <v>0</v>
      </c>
      <c r="I335" s="3">
        <v>0</v>
      </c>
      <c r="J335" s="3">
        <v>0</v>
      </c>
      <c r="K335" s="3">
        <v>2000000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2000000</v>
      </c>
      <c r="AG335" s="3">
        <v>0</v>
      </c>
      <c r="AH335" s="3">
        <v>0</v>
      </c>
      <c r="AI335" s="3">
        <v>0</v>
      </c>
      <c r="AJ335" s="3">
        <v>2000000</v>
      </c>
      <c r="AK335" s="2" t="s">
        <v>1005</v>
      </c>
      <c r="AL335" s="2" t="s">
        <v>1006</v>
      </c>
      <c r="AM335" s="3" t="e">
        <f>VLOOKUP(AL335,Table1[],2,FALSE)</f>
        <v>#N/A</v>
      </c>
      <c r="AN335" s="3" t="e">
        <f>VLOOKUP(AL335,Table1[],3,FALSE)</f>
        <v>#N/A</v>
      </c>
      <c r="AO335" s="3" t="e">
        <f>VLOOKUP($AL335,Table1[],4,FALSE)</f>
        <v>#N/A</v>
      </c>
      <c r="AP335" s="3" t="e">
        <f>VLOOKUP($AL335,Table1[],5,FALSE)</f>
        <v>#N/A</v>
      </c>
      <c r="AQ335" s="3" t="e">
        <f>VLOOKUP($AL335,Table1[],6,FALSE)</f>
        <v>#N/A</v>
      </c>
      <c r="AR335" s="3" t="e">
        <f>VLOOKUP($AL335,Table1[],7,FALSE)</f>
        <v>#N/A</v>
      </c>
      <c r="AS335" s="3" t="e">
        <f>VLOOKUP($AL335,Table1[],8,FALSE)</f>
        <v>#N/A</v>
      </c>
    </row>
    <row r="336" spans="1:45" x14ac:dyDescent="0.35">
      <c r="A336" s="2" t="s">
        <v>1007</v>
      </c>
      <c r="B336" s="3">
        <v>6000000</v>
      </c>
      <c r="C336" s="3">
        <v>0</v>
      </c>
      <c r="D336" s="3">
        <v>0</v>
      </c>
      <c r="E336" s="3">
        <v>0</v>
      </c>
      <c r="F336" s="3">
        <v>6000000</v>
      </c>
      <c r="G336" s="3">
        <v>6000000</v>
      </c>
      <c r="H336" s="3">
        <v>0</v>
      </c>
      <c r="I336" s="3">
        <v>0</v>
      </c>
      <c r="J336" s="3">
        <v>0</v>
      </c>
      <c r="K336" s="3">
        <v>6000000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6000000</v>
      </c>
      <c r="AG336" s="3">
        <v>0</v>
      </c>
      <c r="AH336" s="3">
        <v>0</v>
      </c>
      <c r="AI336" s="3">
        <v>0</v>
      </c>
      <c r="AJ336" s="3">
        <v>6000000</v>
      </c>
      <c r="AK336" s="2" t="s">
        <v>1008</v>
      </c>
      <c r="AL336" s="2" t="s">
        <v>1009</v>
      </c>
      <c r="AM336" s="3" t="e">
        <f>VLOOKUP(AL336,Table1[],2,FALSE)</f>
        <v>#N/A</v>
      </c>
      <c r="AN336" s="3" t="e">
        <f>VLOOKUP(AL336,Table1[],3,FALSE)</f>
        <v>#N/A</v>
      </c>
      <c r="AO336" s="3" t="e">
        <f>VLOOKUP($AL336,Table1[],4,FALSE)</f>
        <v>#N/A</v>
      </c>
      <c r="AP336" s="3" t="e">
        <f>VLOOKUP($AL336,Table1[],5,FALSE)</f>
        <v>#N/A</v>
      </c>
      <c r="AQ336" s="3" t="e">
        <f>VLOOKUP($AL336,Table1[],6,FALSE)</f>
        <v>#N/A</v>
      </c>
      <c r="AR336" s="3" t="e">
        <f>VLOOKUP($AL336,Table1[],7,FALSE)</f>
        <v>#N/A</v>
      </c>
      <c r="AS336" s="3" t="e">
        <f>VLOOKUP($AL336,Table1[],8,FALSE)</f>
        <v>#N/A</v>
      </c>
    </row>
    <row r="337" spans="1:45" x14ac:dyDescent="0.35">
      <c r="A337" s="2" t="s">
        <v>1010</v>
      </c>
      <c r="B337" s="3">
        <v>4000000</v>
      </c>
      <c r="C337" s="3">
        <v>0</v>
      </c>
      <c r="D337" s="3">
        <v>0</v>
      </c>
      <c r="E337" s="3">
        <v>0</v>
      </c>
      <c r="F337" s="3">
        <v>4000000</v>
      </c>
      <c r="G337" s="3">
        <v>4000000</v>
      </c>
      <c r="H337" s="3">
        <v>0</v>
      </c>
      <c r="I337" s="3">
        <v>0</v>
      </c>
      <c r="J337" s="3">
        <v>0</v>
      </c>
      <c r="K337" s="3">
        <v>4000000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4000000</v>
      </c>
      <c r="AG337" s="3">
        <v>0</v>
      </c>
      <c r="AH337" s="3">
        <v>0</v>
      </c>
      <c r="AI337" s="3">
        <v>0</v>
      </c>
      <c r="AJ337" s="3">
        <v>4000000</v>
      </c>
      <c r="AK337" s="2" t="s">
        <v>1011</v>
      </c>
      <c r="AL337" s="2" t="s">
        <v>1012</v>
      </c>
      <c r="AM337" s="3" t="e">
        <f>VLOOKUP(AL337,Table1[],2,FALSE)</f>
        <v>#N/A</v>
      </c>
      <c r="AN337" s="3" t="e">
        <f>VLOOKUP(AL337,Table1[],3,FALSE)</f>
        <v>#N/A</v>
      </c>
      <c r="AO337" s="3" t="e">
        <f>VLOOKUP($AL337,Table1[],4,FALSE)</f>
        <v>#N/A</v>
      </c>
      <c r="AP337" s="3" t="e">
        <f>VLOOKUP($AL337,Table1[],5,FALSE)</f>
        <v>#N/A</v>
      </c>
      <c r="AQ337" s="3" t="e">
        <f>VLOOKUP($AL337,Table1[],6,FALSE)</f>
        <v>#N/A</v>
      </c>
      <c r="AR337" s="3" t="e">
        <f>VLOOKUP($AL337,Table1[],7,FALSE)</f>
        <v>#N/A</v>
      </c>
      <c r="AS337" s="3" t="e">
        <f>VLOOKUP($AL337,Table1[],8,FALSE)</f>
        <v>#N/A</v>
      </c>
    </row>
    <row r="338" spans="1:45" x14ac:dyDescent="0.35">
      <c r="A338" s="2" t="s">
        <v>1013</v>
      </c>
      <c r="B338" s="3">
        <v>4000000</v>
      </c>
      <c r="C338" s="3">
        <v>0</v>
      </c>
      <c r="D338" s="3">
        <v>3382748.54</v>
      </c>
      <c r="E338" s="3">
        <v>3382748.54</v>
      </c>
      <c r="F338" s="3">
        <v>617251.46</v>
      </c>
      <c r="G338" s="3">
        <v>4000000</v>
      </c>
      <c r="H338" s="3">
        <v>0</v>
      </c>
      <c r="I338" s="3">
        <v>3382748.54</v>
      </c>
      <c r="J338" s="3">
        <v>3382748.54</v>
      </c>
      <c r="K338" s="3">
        <v>617251.46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4000000</v>
      </c>
      <c r="AG338" s="3">
        <v>0</v>
      </c>
      <c r="AH338" s="3">
        <v>3382748.54</v>
      </c>
      <c r="AI338" s="3">
        <v>3382748.54</v>
      </c>
      <c r="AJ338" s="3">
        <v>617251.46</v>
      </c>
      <c r="AK338" s="2" t="s">
        <v>1014</v>
      </c>
      <c r="AL338" s="2" t="s">
        <v>1015</v>
      </c>
      <c r="AM338" s="3" t="e">
        <f>VLOOKUP(AL338,Table1[],2,FALSE)</f>
        <v>#N/A</v>
      </c>
      <c r="AN338" s="3" t="e">
        <f>VLOOKUP(AL338,Table1[],3,FALSE)</f>
        <v>#N/A</v>
      </c>
      <c r="AO338" s="3" t="e">
        <f>VLOOKUP($AL338,Table1[],4,FALSE)</f>
        <v>#N/A</v>
      </c>
      <c r="AP338" s="3" t="e">
        <f>VLOOKUP($AL338,Table1[],5,FALSE)</f>
        <v>#N/A</v>
      </c>
      <c r="AQ338" s="3" t="e">
        <f>VLOOKUP($AL338,Table1[],6,FALSE)</f>
        <v>#N/A</v>
      </c>
      <c r="AR338" s="3" t="e">
        <f>VLOOKUP($AL338,Table1[],7,FALSE)</f>
        <v>#N/A</v>
      </c>
      <c r="AS338" s="3" t="e">
        <f>VLOOKUP($AL338,Table1[],8,FALSE)</f>
        <v>#N/A</v>
      </c>
    </row>
    <row r="339" spans="1:45" x14ac:dyDescent="0.35">
      <c r="A339" s="2" t="s">
        <v>1016</v>
      </c>
      <c r="B339" s="3">
        <v>2000000</v>
      </c>
      <c r="C339" s="3">
        <v>0</v>
      </c>
      <c r="D339" s="3">
        <v>0</v>
      </c>
      <c r="E339" s="3">
        <v>0</v>
      </c>
      <c r="F339" s="3">
        <v>2000000</v>
      </c>
      <c r="G339" s="3">
        <v>2000000</v>
      </c>
      <c r="H339" s="3">
        <v>0</v>
      </c>
      <c r="I339" s="3">
        <v>0</v>
      </c>
      <c r="J339" s="3">
        <v>0</v>
      </c>
      <c r="K339" s="3">
        <v>2000000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2000000</v>
      </c>
      <c r="AG339" s="3">
        <v>0</v>
      </c>
      <c r="AH339" s="3">
        <v>0</v>
      </c>
      <c r="AI339" s="3">
        <v>0</v>
      </c>
      <c r="AJ339" s="3">
        <v>2000000</v>
      </c>
      <c r="AK339" s="2" t="s">
        <v>1017</v>
      </c>
      <c r="AL339" s="2" t="s">
        <v>1018</v>
      </c>
      <c r="AM339" s="3" t="e">
        <f>VLOOKUP(AL339,Table1[],2,FALSE)</f>
        <v>#N/A</v>
      </c>
      <c r="AN339" s="3" t="e">
        <f>VLOOKUP(AL339,Table1[],3,FALSE)</f>
        <v>#N/A</v>
      </c>
      <c r="AO339" s="3" t="e">
        <f>VLOOKUP($AL339,Table1[],4,FALSE)</f>
        <v>#N/A</v>
      </c>
      <c r="AP339" s="3" t="e">
        <f>VLOOKUP($AL339,Table1[],5,FALSE)</f>
        <v>#N/A</v>
      </c>
      <c r="AQ339" s="3" t="e">
        <f>VLOOKUP($AL339,Table1[],6,FALSE)</f>
        <v>#N/A</v>
      </c>
      <c r="AR339" s="3" t="e">
        <f>VLOOKUP($AL339,Table1[],7,FALSE)</f>
        <v>#N/A</v>
      </c>
      <c r="AS339" s="3" t="e">
        <f>VLOOKUP($AL339,Table1[],8,FALSE)</f>
        <v>#N/A</v>
      </c>
    </row>
    <row r="340" spans="1:45" x14ac:dyDescent="0.35">
      <c r="A340" s="2" t="s">
        <v>1019</v>
      </c>
      <c r="B340" s="3">
        <v>2000000</v>
      </c>
      <c r="C340" s="3">
        <v>0</v>
      </c>
      <c r="D340" s="3">
        <v>0</v>
      </c>
      <c r="E340" s="3">
        <v>0</v>
      </c>
      <c r="F340" s="3">
        <v>2000000</v>
      </c>
      <c r="G340" s="3">
        <v>2000000</v>
      </c>
      <c r="H340" s="3">
        <v>0</v>
      </c>
      <c r="I340" s="3">
        <v>0</v>
      </c>
      <c r="J340" s="3">
        <v>0</v>
      </c>
      <c r="K340" s="3">
        <v>2000000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2000000</v>
      </c>
      <c r="AG340" s="3">
        <v>0</v>
      </c>
      <c r="AH340" s="3">
        <v>0</v>
      </c>
      <c r="AI340" s="3">
        <v>0</v>
      </c>
      <c r="AJ340" s="3">
        <v>2000000</v>
      </c>
      <c r="AK340" s="2" t="s">
        <v>1020</v>
      </c>
      <c r="AL340" s="2" t="s">
        <v>1021</v>
      </c>
      <c r="AM340" s="3" t="e">
        <f>VLOOKUP(AL340,Table1[],2,FALSE)</f>
        <v>#N/A</v>
      </c>
      <c r="AN340" s="3" t="e">
        <f>VLOOKUP(AL340,Table1[],3,FALSE)</f>
        <v>#N/A</v>
      </c>
      <c r="AO340" s="3" t="e">
        <f>VLOOKUP($AL340,Table1[],4,FALSE)</f>
        <v>#N/A</v>
      </c>
      <c r="AP340" s="3" t="e">
        <f>VLOOKUP($AL340,Table1[],5,FALSE)</f>
        <v>#N/A</v>
      </c>
      <c r="AQ340" s="3" t="e">
        <f>VLOOKUP($AL340,Table1[],6,FALSE)</f>
        <v>#N/A</v>
      </c>
      <c r="AR340" s="3" t="e">
        <f>VLOOKUP($AL340,Table1[],7,FALSE)</f>
        <v>#N/A</v>
      </c>
      <c r="AS340" s="3" t="e">
        <f>VLOOKUP($AL340,Table1[],8,FALSE)</f>
        <v>#N/A</v>
      </c>
    </row>
    <row r="341" spans="1:45" x14ac:dyDescent="0.35">
      <c r="A341" s="2" t="s">
        <v>1022</v>
      </c>
      <c r="B341" s="3">
        <v>1500000</v>
      </c>
      <c r="C341" s="3">
        <v>0</v>
      </c>
      <c r="D341" s="3">
        <v>0</v>
      </c>
      <c r="E341" s="3">
        <v>0</v>
      </c>
      <c r="F341" s="3">
        <v>1500000</v>
      </c>
      <c r="G341" s="3">
        <v>1500000</v>
      </c>
      <c r="H341" s="3">
        <v>0</v>
      </c>
      <c r="I341" s="3">
        <v>0</v>
      </c>
      <c r="J341" s="3">
        <v>0</v>
      </c>
      <c r="K341" s="3">
        <v>1500000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1500000</v>
      </c>
      <c r="AG341" s="3">
        <v>0</v>
      </c>
      <c r="AH341" s="3">
        <v>0</v>
      </c>
      <c r="AI341" s="3">
        <v>0</v>
      </c>
      <c r="AJ341" s="3">
        <v>1500000</v>
      </c>
      <c r="AK341" s="2" t="s">
        <v>1023</v>
      </c>
      <c r="AL341" s="2" t="s">
        <v>1024</v>
      </c>
      <c r="AM341" s="3" t="e">
        <f>VLOOKUP(AL341,Table1[],2,FALSE)</f>
        <v>#N/A</v>
      </c>
      <c r="AN341" s="3" t="e">
        <f>VLOOKUP(AL341,Table1[],3,FALSE)</f>
        <v>#N/A</v>
      </c>
      <c r="AO341" s="3" t="e">
        <f>VLOOKUP($AL341,Table1[],4,FALSE)</f>
        <v>#N/A</v>
      </c>
      <c r="AP341" s="3" t="e">
        <f>VLOOKUP($AL341,Table1[],5,FALSE)</f>
        <v>#N/A</v>
      </c>
      <c r="AQ341" s="3" t="e">
        <f>VLOOKUP($AL341,Table1[],6,FALSE)</f>
        <v>#N/A</v>
      </c>
      <c r="AR341" s="3" t="e">
        <f>VLOOKUP($AL341,Table1[],7,FALSE)</f>
        <v>#N/A</v>
      </c>
      <c r="AS341" s="3" t="e">
        <f>VLOOKUP($AL341,Table1[],8,FALSE)</f>
        <v>#N/A</v>
      </c>
    </row>
    <row r="342" spans="1:45" x14ac:dyDescent="0.35">
      <c r="A342" s="2" t="s">
        <v>1025</v>
      </c>
      <c r="B342" s="3">
        <v>2500000</v>
      </c>
      <c r="C342" s="3">
        <v>0</v>
      </c>
      <c r="D342" s="3">
        <v>0</v>
      </c>
      <c r="E342" s="3">
        <v>0</v>
      </c>
      <c r="F342" s="3">
        <v>2500000</v>
      </c>
      <c r="G342" s="3">
        <v>2500000</v>
      </c>
      <c r="H342" s="3">
        <v>0</v>
      </c>
      <c r="I342" s="3">
        <v>0</v>
      </c>
      <c r="J342" s="3">
        <v>0</v>
      </c>
      <c r="K342" s="3">
        <v>2500000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2500000</v>
      </c>
      <c r="AG342" s="3">
        <v>0</v>
      </c>
      <c r="AH342" s="3">
        <v>0</v>
      </c>
      <c r="AI342" s="3">
        <v>0</v>
      </c>
      <c r="AJ342" s="3">
        <v>2500000</v>
      </c>
      <c r="AK342" s="2" t="s">
        <v>1026</v>
      </c>
      <c r="AL342" s="2" t="s">
        <v>1027</v>
      </c>
      <c r="AM342" s="3" t="e">
        <f>VLOOKUP(AL342,Table1[],2,FALSE)</f>
        <v>#N/A</v>
      </c>
      <c r="AN342" s="3" t="e">
        <f>VLOOKUP(AL342,Table1[],3,FALSE)</f>
        <v>#N/A</v>
      </c>
      <c r="AO342" s="3" t="e">
        <f>VLOOKUP($AL342,Table1[],4,FALSE)</f>
        <v>#N/A</v>
      </c>
      <c r="AP342" s="3" t="e">
        <f>VLOOKUP($AL342,Table1[],5,FALSE)</f>
        <v>#N/A</v>
      </c>
      <c r="AQ342" s="3" t="e">
        <f>VLOOKUP($AL342,Table1[],6,FALSE)</f>
        <v>#N/A</v>
      </c>
      <c r="AR342" s="3" t="e">
        <f>VLOOKUP($AL342,Table1[],7,FALSE)</f>
        <v>#N/A</v>
      </c>
      <c r="AS342" s="3" t="e">
        <f>VLOOKUP($AL342,Table1[],8,FALSE)</f>
        <v>#N/A</v>
      </c>
    </row>
    <row r="343" spans="1:45" x14ac:dyDescent="0.35">
      <c r="A343" s="2" t="s">
        <v>1028</v>
      </c>
      <c r="B343" s="3">
        <v>2000000</v>
      </c>
      <c r="C343" s="3">
        <v>0</v>
      </c>
      <c r="D343" s="3">
        <v>0</v>
      </c>
      <c r="E343" s="3">
        <v>0</v>
      </c>
      <c r="F343" s="3">
        <v>2000000</v>
      </c>
      <c r="G343" s="3">
        <v>2000000</v>
      </c>
      <c r="H343" s="3">
        <v>0</v>
      </c>
      <c r="I343" s="3">
        <v>0</v>
      </c>
      <c r="J343" s="3">
        <v>0</v>
      </c>
      <c r="K343" s="3">
        <v>2000000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2000000</v>
      </c>
      <c r="AG343" s="3">
        <v>0</v>
      </c>
      <c r="AH343" s="3">
        <v>0</v>
      </c>
      <c r="AI343" s="3">
        <v>0</v>
      </c>
      <c r="AJ343" s="3">
        <v>2000000</v>
      </c>
      <c r="AK343" s="2" t="s">
        <v>1029</v>
      </c>
      <c r="AL343" s="2" t="s">
        <v>1030</v>
      </c>
      <c r="AM343" s="3" t="e">
        <f>VLOOKUP(AL343,Table1[],2,FALSE)</f>
        <v>#N/A</v>
      </c>
      <c r="AN343" s="3" t="e">
        <f>VLOOKUP(AL343,Table1[],3,FALSE)</f>
        <v>#N/A</v>
      </c>
      <c r="AO343" s="3" t="e">
        <f>VLOOKUP($AL343,Table1[],4,FALSE)</f>
        <v>#N/A</v>
      </c>
      <c r="AP343" s="3" t="e">
        <f>VLOOKUP($AL343,Table1[],5,FALSE)</f>
        <v>#N/A</v>
      </c>
      <c r="AQ343" s="3" t="e">
        <f>VLOOKUP($AL343,Table1[],6,FALSE)</f>
        <v>#N/A</v>
      </c>
      <c r="AR343" s="3" t="e">
        <f>VLOOKUP($AL343,Table1[],7,FALSE)</f>
        <v>#N/A</v>
      </c>
      <c r="AS343" s="3" t="e">
        <f>VLOOKUP($AL343,Table1[],8,FALSE)</f>
        <v>#N/A</v>
      </c>
    </row>
    <row r="344" spans="1:45" x14ac:dyDescent="0.35">
      <c r="A344" s="2" t="s">
        <v>1031</v>
      </c>
      <c r="B344" s="3">
        <v>2000000</v>
      </c>
      <c r="C344" s="3">
        <v>2000</v>
      </c>
      <c r="D344" s="3">
        <v>0</v>
      </c>
      <c r="E344" s="3">
        <v>2000</v>
      </c>
      <c r="F344" s="3">
        <v>1998000</v>
      </c>
      <c r="G344" s="3">
        <v>2000000</v>
      </c>
      <c r="H344" s="3">
        <v>2000</v>
      </c>
      <c r="I344" s="3">
        <v>0</v>
      </c>
      <c r="J344" s="3">
        <v>2000</v>
      </c>
      <c r="K344" s="3">
        <v>1998000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2000000</v>
      </c>
      <c r="AG344" s="3">
        <v>2000</v>
      </c>
      <c r="AH344" s="3">
        <v>0</v>
      </c>
      <c r="AI344" s="3">
        <v>2000</v>
      </c>
      <c r="AJ344" s="3">
        <v>1998000</v>
      </c>
      <c r="AK344" s="2" t="s">
        <v>1032</v>
      </c>
      <c r="AL344" s="2" t="s">
        <v>1033</v>
      </c>
      <c r="AM344" s="3">
        <f>VLOOKUP(AL344,Table1[],2,FALSE)</f>
        <v>0</v>
      </c>
      <c r="AN344" s="3">
        <f>VLOOKUP(AL344,Table1[],3,FALSE)</f>
        <v>0</v>
      </c>
      <c r="AO344" s="3">
        <f>VLOOKUP($AL344,Table1[],4,FALSE)</f>
        <v>0</v>
      </c>
      <c r="AP344" s="3">
        <f>VLOOKUP($AL344,Table1[],5,FALSE)</f>
        <v>0</v>
      </c>
      <c r="AQ344" s="3">
        <f>VLOOKUP($AL344,Table1[],6,FALSE)</f>
        <v>0</v>
      </c>
      <c r="AR344" s="3">
        <f>VLOOKUP($AL344,Table1[],7,FALSE)</f>
        <v>0</v>
      </c>
      <c r="AS344" s="3">
        <f>VLOOKUP($AL344,Table1[],8,FALSE)</f>
        <v>0</v>
      </c>
    </row>
    <row r="345" spans="1:45" x14ac:dyDescent="0.35">
      <c r="A345" s="2" t="s">
        <v>1034</v>
      </c>
      <c r="B345" s="3">
        <v>2000000</v>
      </c>
      <c r="C345" s="3">
        <v>0</v>
      </c>
      <c r="D345" s="3">
        <v>0</v>
      </c>
      <c r="E345" s="3">
        <v>0</v>
      </c>
      <c r="F345" s="3">
        <v>2000000</v>
      </c>
      <c r="G345" s="3">
        <v>2000000</v>
      </c>
      <c r="H345" s="3">
        <v>0</v>
      </c>
      <c r="I345" s="3">
        <v>0</v>
      </c>
      <c r="J345" s="3">
        <v>0</v>
      </c>
      <c r="K345" s="3">
        <v>2000000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2000000</v>
      </c>
      <c r="AG345" s="3">
        <v>0</v>
      </c>
      <c r="AH345" s="3">
        <v>0</v>
      </c>
      <c r="AI345" s="3">
        <v>0</v>
      </c>
      <c r="AJ345" s="3">
        <v>2000000</v>
      </c>
      <c r="AK345" s="2" t="s">
        <v>1035</v>
      </c>
      <c r="AL345" s="2" t="s">
        <v>1036</v>
      </c>
      <c r="AM345" s="3" t="e">
        <f>VLOOKUP(AL345,Table1[],2,FALSE)</f>
        <v>#N/A</v>
      </c>
      <c r="AN345" s="3" t="e">
        <f>VLOOKUP(AL345,Table1[],3,FALSE)</f>
        <v>#N/A</v>
      </c>
      <c r="AO345" s="3" t="e">
        <f>VLOOKUP($AL345,Table1[],4,FALSE)</f>
        <v>#N/A</v>
      </c>
      <c r="AP345" s="3" t="e">
        <f>VLOOKUP($AL345,Table1[],5,FALSE)</f>
        <v>#N/A</v>
      </c>
      <c r="AQ345" s="3" t="e">
        <f>VLOOKUP($AL345,Table1[],6,FALSE)</f>
        <v>#N/A</v>
      </c>
      <c r="AR345" s="3" t="e">
        <f>VLOOKUP($AL345,Table1[],7,FALSE)</f>
        <v>#N/A</v>
      </c>
      <c r="AS345" s="3" t="e">
        <f>VLOOKUP($AL345,Table1[],8,FALSE)</f>
        <v>#N/A</v>
      </c>
    </row>
    <row r="346" spans="1:45" x14ac:dyDescent="0.35">
      <c r="A346" s="2" t="s">
        <v>1037</v>
      </c>
      <c r="B346" s="3">
        <v>2000000</v>
      </c>
      <c r="C346" s="3">
        <v>0</v>
      </c>
      <c r="D346" s="3">
        <v>1693809.63</v>
      </c>
      <c r="E346" s="3">
        <v>1693809.63</v>
      </c>
      <c r="F346" s="3">
        <v>306190.37</v>
      </c>
      <c r="G346" s="3">
        <v>2000000</v>
      </c>
      <c r="H346" s="3">
        <v>0</v>
      </c>
      <c r="I346" s="3">
        <v>1693809.63</v>
      </c>
      <c r="J346" s="3">
        <v>1693809.63</v>
      </c>
      <c r="K346" s="3">
        <v>306190.37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2000000</v>
      </c>
      <c r="AG346" s="3">
        <v>0</v>
      </c>
      <c r="AH346" s="3">
        <v>1693809.63</v>
      </c>
      <c r="AI346" s="3">
        <v>1693809.63</v>
      </c>
      <c r="AJ346" s="3">
        <v>306190.37</v>
      </c>
      <c r="AK346" s="2" t="s">
        <v>1038</v>
      </c>
      <c r="AL346" s="2" t="s">
        <v>1039</v>
      </c>
      <c r="AM346" s="3" t="e">
        <f>VLOOKUP(AL346,Table1[],2,FALSE)</f>
        <v>#N/A</v>
      </c>
      <c r="AN346" s="3" t="e">
        <f>VLOOKUP(AL346,Table1[],3,FALSE)</f>
        <v>#N/A</v>
      </c>
      <c r="AO346" s="3" t="e">
        <f>VLOOKUP($AL346,Table1[],4,FALSE)</f>
        <v>#N/A</v>
      </c>
      <c r="AP346" s="3" t="e">
        <f>VLOOKUP($AL346,Table1[],5,FALSE)</f>
        <v>#N/A</v>
      </c>
      <c r="AQ346" s="3" t="e">
        <f>VLOOKUP($AL346,Table1[],6,FALSE)</f>
        <v>#N/A</v>
      </c>
      <c r="AR346" s="3" t="e">
        <f>VLOOKUP($AL346,Table1[],7,FALSE)</f>
        <v>#N/A</v>
      </c>
      <c r="AS346" s="3" t="e">
        <f>VLOOKUP($AL346,Table1[],8,FALSE)</f>
        <v>#N/A</v>
      </c>
    </row>
    <row r="347" spans="1:45" x14ac:dyDescent="0.35">
      <c r="A347" s="2" t="s">
        <v>1040</v>
      </c>
      <c r="B347" s="3">
        <v>2000000</v>
      </c>
      <c r="C347" s="3">
        <v>0</v>
      </c>
      <c r="D347" s="3">
        <v>0</v>
      </c>
      <c r="E347" s="3">
        <v>0</v>
      </c>
      <c r="F347" s="3">
        <v>2000000</v>
      </c>
      <c r="G347" s="3">
        <v>2000000</v>
      </c>
      <c r="H347" s="3">
        <v>0</v>
      </c>
      <c r="I347" s="3">
        <v>0</v>
      </c>
      <c r="J347" s="3">
        <v>0</v>
      </c>
      <c r="K347" s="3">
        <v>2000000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2000000</v>
      </c>
      <c r="AG347" s="3">
        <v>0</v>
      </c>
      <c r="AH347" s="3">
        <v>0</v>
      </c>
      <c r="AI347" s="3">
        <v>0</v>
      </c>
      <c r="AJ347" s="3">
        <v>2000000</v>
      </c>
      <c r="AK347" s="2" t="s">
        <v>1041</v>
      </c>
      <c r="AL347" s="2" t="s">
        <v>1042</v>
      </c>
      <c r="AM347" s="3" t="e">
        <f>VLOOKUP(AL347,Table1[],2,FALSE)</f>
        <v>#N/A</v>
      </c>
      <c r="AN347" s="3" t="e">
        <f>VLOOKUP(AL347,Table1[],3,FALSE)</f>
        <v>#N/A</v>
      </c>
      <c r="AO347" s="3" t="e">
        <f>VLOOKUP($AL347,Table1[],4,FALSE)</f>
        <v>#N/A</v>
      </c>
      <c r="AP347" s="3" t="e">
        <f>VLOOKUP($AL347,Table1[],5,FALSE)</f>
        <v>#N/A</v>
      </c>
      <c r="AQ347" s="3" t="e">
        <f>VLOOKUP($AL347,Table1[],6,FALSE)</f>
        <v>#N/A</v>
      </c>
      <c r="AR347" s="3" t="e">
        <f>VLOOKUP($AL347,Table1[],7,FALSE)</f>
        <v>#N/A</v>
      </c>
      <c r="AS347" s="3" t="e">
        <f>VLOOKUP($AL347,Table1[],8,FALSE)</f>
        <v>#N/A</v>
      </c>
    </row>
    <row r="348" spans="1:45" x14ac:dyDescent="0.35">
      <c r="A348" s="2" t="s">
        <v>1043</v>
      </c>
      <c r="B348" s="3">
        <v>1500000</v>
      </c>
      <c r="C348" s="3">
        <v>0</v>
      </c>
      <c r="D348" s="3">
        <v>0</v>
      </c>
      <c r="E348" s="3">
        <v>0</v>
      </c>
      <c r="F348" s="3">
        <v>1500000</v>
      </c>
      <c r="G348" s="3">
        <v>1500000</v>
      </c>
      <c r="H348" s="3">
        <v>0</v>
      </c>
      <c r="I348" s="3">
        <v>0</v>
      </c>
      <c r="J348" s="3">
        <v>0</v>
      </c>
      <c r="K348" s="3">
        <v>1500000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1500000</v>
      </c>
      <c r="AG348" s="3">
        <v>0</v>
      </c>
      <c r="AH348" s="3">
        <v>0</v>
      </c>
      <c r="AI348" s="3">
        <v>0</v>
      </c>
      <c r="AJ348" s="3">
        <v>1500000</v>
      </c>
      <c r="AK348" s="2" t="s">
        <v>1044</v>
      </c>
      <c r="AL348" s="2" t="s">
        <v>1045</v>
      </c>
      <c r="AM348" s="3" t="e">
        <f>VLOOKUP(AL348,Table1[],2,FALSE)</f>
        <v>#N/A</v>
      </c>
      <c r="AN348" s="3" t="e">
        <f>VLOOKUP(AL348,Table1[],3,FALSE)</f>
        <v>#N/A</v>
      </c>
      <c r="AO348" s="3" t="e">
        <f>VLOOKUP($AL348,Table1[],4,FALSE)</f>
        <v>#N/A</v>
      </c>
      <c r="AP348" s="3" t="e">
        <f>VLOOKUP($AL348,Table1[],5,FALSE)</f>
        <v>#N/A</v>
      </c>
      <c r="AQ348" s="3" t="e">
        <f>VLOOKUP($AL348,Table1[],6,FALSE)</f>
        <v>#N/A</v>
      </c>
      <c r="AR348" s="3" t="e">
        <f>VLOOKUP($AL348,Table1[],7,FALSE)</f>
        <v>#N/A</v>
      </c>
      <c r="AS348" s="3" t="e">
        <f>VLOOKUP($AL348,Table1[],8,FALSE)</f>
        <v>#N/A</v>
      </c>
    </row>
    <row r="349" spans="1:45" x14ac:dyDescent="0.35">
      <c r="A349" s="2" t="s">
        <v>1046</v>
      </c>
      <c r="B349" s="3">
        <v>16279000</v>
      </c>
      <c r="C349" s="3">
        <v>14903518.390000001</v>
      </c>
      <c r="D349" s="3">
        <v>0</v>
      </c>
      <c r="E349" s="3">
        <v>14903518.390000001</v>
      </c>
      <c r="F349" s="3">
        <v>1375481.61</v>
      </c>
      <c r="G349" s="3">
        <v>16279000</v>
      </c>
      <c r="H349" s="3">
        <v>14903518.390000001</v>
      </c>
      <c r="I349" s="3">
        <v>0</v>
      </c>
      <c r="J349" s="3">
        <v>14903518.390000001</v>
      </c>
      <c r="K349" s="3">
        <v>1375481.61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16279000</v>
      </c>
      <c r="AG349" s="3">
        <v>14903518.390000001</v>
      </c>
      <c r="AH349" s="3">
        <v>0</v>
      </c>
      <c r="AI349" s="3">
        <v>14903518.390000001</v>
      </c>
      <c r="AJ349" s="3">
        <v>1375481.61</v>
      </c>
      <c r="AK349" s="2" t="s">
        <v>1047</v>
      </c>
      <c r="AL349" s="2" t="s">
        <v>1048</v>
      </c>
      <c r="AM349" s="3">
        <f>VLOOKUP(AL349,Table1[],2,FALSE)</f>
        <v>0</v>
      </c>
      <c r="AN349" s="3">
        <f>VLOOKUP(AL349,Table1[],3,FALSE)</f>
        <v>0</v>
      </c>
      <c r="AO349" s="3">
        <f>VLOOKUP($AL349,Table1[],4,FALSE)</f>
        <v>0</v>
      </c>
      <c r="AP349" s="3">
        <f>VLOOKUP($AL349,Table1[],5,FALSE)</f>
        <v>0</v>
      </c>
      <c r="AQ349" s="3">
        <f>VLOOKUP($AL349,Table1[],6,FALSE)</f>
        <v>0</v>
      </c>
      <c r="AR349" s="3">
        <f>VLOOKUP($AL349,Table1[],7,FALSE)</f>
        <v>0</v>
      </c>
      <c r="AS349" s="3">
        <f>VLOOKUP($AL349,Table1[],8,FALSE)</f>
        <v>0</v>
      </c>
    </row>
    <row r="350" spans="1:45" x14ac:dyDescent="0.35">
      <c r="A350" s="2" t="s">
        <v>1049</v>
      </c>
      <c r="B350" s="3">
        <v>7000000</v>
      </c>
      <c r="C350" s="3">
        <v>0</v>
      </c>
      <c r="D350" s="3">
        <v>0</v>
      </c>
      <c r="E350" s="3">
        <v>0</v>
      </c>
      <c r="F350" s="3">
        <v>7000000</v>
      </c>
      <c r="G350" s="3">
        <v>7000000</v>
      </c>
      <c r="H350" s="3">
        <v>0</v>
      </c>
      <c r="I350" s="3">
        <v>0</v>
      </c>
      <c r="J350" s="3">
        <v>0</v>
      </c>
      <c r="K350" s="3">
        <v>7000000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7000000</v>
      </c>
      <c r="AG350" s="3">
        <v>0</v>
      </c>
      <c r="AH350" s="3">
        <v>0</v>
      </c>
      <c r="AI350" s="3">
        <v>0</v>
      </c>
      <c r="AJ350" s="3">
        <v>7000000</v>
      </c>
      <c r="AK350" s="2" t="s">
        <v>1050</v>
      </c>
      <c r="AL350" s="2" t="s">
        <v>1051</v>
      </c>
      <c r="AM350" s="3" t="e">
        <f>VLOOKUP(AL350,Table1[],2,FALSE)</f>
        <v>#N/A</v>
      </c>
      <c r="AN350" s="3" t="e">
        <f>VLOOKUP(AL350,Table1[],3,FALSE)</f>
        <v>#N/A</v>
      </c>
      <c r="AO350" s="3" t="e">
        <f>VLOOKUP($AL350,Table1[],4,FALSE)</f>
        <v>#N/A</v>
      </c>
      <c r="AP350" s="3" t="e">
        <f>VLOOKUP($AL350,Table1[],5,FALSE)</f>
        <v>#N/A</v>
      </c>
      <c r="AQ350" s="3" t="e">
        <f>VLOOKUP($AL350,Table1[],6,FALSE)</f>
        <v>#N/A</v>
      </c>
      <c r="AR350" s="3" t="e">
        <f>VLOOKUP($AL350,Table1[],7,FALSE)</f>
        <v>#N/A</v>
      </c>
      <c r="AS350" s="3" t="e">
        <f>VLOOKUP($AL350,Table1[],8,FALSE)</f>
        <v>#N/A</v>
      </c>
    </row>
    <row r="351" spans="1:45" x14ac:dyDescent="0.35">
      <c r="A351" s="2" t="s">
        <v>1052</v>
      </c>
      <c r="B351" s="3">
        <v>6000000</v>
      </c>
      <c r="C351" s="3">
        <v>0</v>
      </c>
      <c r="D351" s="3">
        <v>0</v>
      </c>
      <c r="E351" s="3">
        <v>0</v>
      </c>
      <c r="F351" s="3">
        <v>6000000</v>
      </c>
      <c r="G351" s="3">
        <v>6000000</v>
      </c>
      <c r="H351" s="3">
        <v>0</v>
      </c>
      <c r="I351" s="3">
        <v>0</v>
      </c>
      <c r="J351" s="3">
        <v>0</v>
      </c>
      <c r="K351" s="3">
        <v>6000000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6000000</v>
      </c>
      <c r="AG351" s="3">
        <v>0</v>
      </c>
      <c r="AH351" s="3">
        <v>0</v>
      </c>
      <c r="AI351" s="3">
        <v>0</v>
      </c>
      <c r="AJ351" s="3">
        <v>6000000</v>
      </c>
      <c r="AK351" s="2" t="s">
        <v>1053</v>
      </c>
      <c r="AL351" s="2" t="s">
        <v>1054</v>
      </c>
      <c r="AM351" s="3" t="e">
        <f>VLOOKUP(AL351,Table1[],2,FALSE)</f>
        <v>#N/A</v>
      </c>
      <c r="AN351" s="3" t="e">
        <f>VLOOKUP(AL351,Table1[],3,FALSE)</f>
        <v>#N/A</v>
      </c>
      <c r="AO351" s="3" t="e">
        <f>VLOOKUP($AL351,Table1[],4,FALSE)</f>
        <v>#N/A</v>
      </c>
      <c r="AP351" s="3" t="e">
        <f>VLOOKUP($AL351,Table1[],5,FALSE)</f>
        <v>#N/A</v>
      </c>
      <c r="AQ351" s="3" t="e">
        <f>VLOOKUP($AL351,Table1[],6,FALSE)</f>
        <v>#N/A</v>
      </c>
      <c r="AR351" s="3" t="e">
        <f>VLOOKUP($AL351,Table1[],7,FALSE)</f>
        <v>#N/A</v>
      </c>
      <c r="AS351" s="3" t="e">
        <f>VLOOKUP($AL351,Table1[],8,FALSE)</f>
        <v>#N/A</v>
      </c>
    </row>
    <row r="352" spans="1:45" x14ac:dyDescent="0.35">
      <c r="A352" s="2" t="s">
        <v>1055</v>
      </c>
      <c r="B352" s="3">
        <v>5000000</v>
      </c>
      <c r="C352" s="3">
        <v>4999651.9800000004</v>
      </c>
      <c r="D352" s="3">
        <v>0</v>
      </c>
      <c r="E352" s="3">
        <v>4999651.9800000004</v>
      </c>
      <c r="F352" s="3">
        <v>348.02</v>
      </c>
      <c r="G352" s="3">
        <v>5000000</v>
      </c>
      <c r="H352" s="3">
        <v>4999651.9800000004</v>
      </c>
      <c r="I352" s="3">
        <v>0</v>
      </c>
      <c r="J352" s="3">
        <v>4999651.9800000004</v>
      </c>
      <c r="K352" s="3">
        <v>348.02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5000000</v>
      </c>
      <c r="AG352" s="3">
        <v>4999651.9800000004</v>
      </c>
      <c r="AH352" s="3">
        <v>0</v>
      </c>
      <c r="AI352" s="3">
        <v>4999651.9800000004</v>
      </c>
      <c r="AJ352" s="3">
        <v>348.02</v>
      </c>
      <c r="AK352" s="2" t="s">
        <v>1056</v>
      </c>
      <c r="AL352" s="2" t="s">
        <v>1057</v>
      </c>
      <c r="AM352" s="3">
        <f>VLOOKUP(AL352,Table1[],2,FALSE)</f>
        <v>0</v>
      </c>
      <c r="AN352" s="3">
        <f>VLOOKUP(AL352,Table1[],3,FALSE)</f>
        <v>0</v>
      </c>
      <c r="AO352" s="3">
        <f>VLOOKUP($AL352,Table1[],4,FALSE)</f>
        <v>0</v>
      </c>
      <c r="AP352" s="3">
        <f>VLOOKUP($AL352,Table1[],5,FALSE)</f>
        <v>0</v>
      </c>
      <c r="AQ352" s="3">
        <f>VLOOKUP($AL352,Table1[],6,FALSE)</f>
        <v>0</v>
      </c>
      <c r="AR352" s="3">
        <f>VLOOKUP($AL352,Table1[],7,FALSE)</f>
        <v>0</v>
      </c>
      <c r="AS352" s="3">
        <f>VLOOKUP($AL352,Table1[],8,FALSE)</f>
        <v>0</v>
      </c>
    </row>
    <row r="353" spans="1:45" x14ac:dyDescent="0.35">
      <c r="A353" s="2" t="s">
        <v>1058</v>
      </c>
      <c r="B353" s="3">
        <v>10200000</v>
      </c>
      <c r="C353" s="3">
        <v>8851430.2100000009</v>
      </c>
      <c r="D353" s="3">
        <v>0.04</v>
      </c>
      <c r="E353" s="3">
        <v>8851430.25</v>
      </c>
      <c r="F353" s="3">
        <v>1348569.75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10200000</v>
      </c>
      <c r="M353" s="3">
        <v>8851430.2100000009</v>
      </c>
      <c r="N353" s="3">
        <v>0.04</v>
      </c>
      <c r="O353" s="3">
        <v>8851430.25</v>
      </c>
      <c r="P353" s="3">
        <v>1348569.75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10200000</v>
      </c>
      <c r="AG353" s="3">
        <v>8851430.2100000009</v>
      </c>
      <c r="AH353" s="3">
        <v>0.04</v>
      </c>
      <c r="AI353" s="3">
        <v>8851430.25</v>
      </c>
      <c r="AJ353" s="3">
        <v>1348569.75</v>
      </c>
      <c r="AK353" s="2" t="s">
        <v>600</v>
      </c>
      <c r="AL353" s="2" t="s">
        <v>1059</v>
      </c>
      <c r="AM353" s="3">
        <f>VLOOKUP(AL353,Table1[],2,FALSE)</f>
        <v>0</v>
      </c>
      <c r="AN353" s="3">
        <f>VLOOKUP(AL353,Table1[],3,FALSE)</f>
        <v>0</v>
      </c>
      <c r="AO353" s="3">
        <f>VLOOKUP($AL353,Table1[],4,FALSE)</f>
        <v>0</v>
      </c>
      <c r="AP353" s="3">
        <f>VLOOKUP($AL353,Table1[],5,FALSE)</f>
        <v>0</v>
      </c>
      <c r="AQ353" s="3">
        <f>VLOOKUP($AL353,Table1[],6,FALSE)</f>
        <v>0</v>
      </c>
      <c r="AR353" s="3">
        <f>VLOOKUP($AL353,Table1[],7,FALSE)</f>
        <v>0</v>
      </c>
      <c r="AS353" s="3">
        <f>VLOOKUP($AL353,Table1[],8,FALSE)</f>
        <v>0</v>
      </c>
    </row>
    <row r="354" spans="1:45" x14ac:dyDescent="0.35">
      <c r="A354" s="2" t="s">
        <v>1060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2" t="s">
        <v>1061</v>
      </c>
      <c r="AL354" s="2" t="s">
        <v>1062</v>
      </c>
      <c r="AM354" s="3" t="e">
        <f>VLOOKUP(AL354,Table1[],2,FALSE)</f>
        <v>#N/A</v>
      </c>
      <c r="AN354" s="3" t="e">
        <f>VLOOKUP(AL354,Table1[],3,FALSE)</f>
        <v>#N/A</v>
      </c>
      <c r="AO354" s="3" t="e">
        <f>VLOOKUP($AL354,Table1[],4,FALSE)</f>
        <v>#N/A</v>
      </c>
      <c r="AP354" s="3" t="e">
        <f>VLOOKUP($AL354,Table1[],5,FALSE)</f>
        <v>#N/A</v>
      </c>
      <c r="AQ354" s="3" t="e">
        <f>VLOOKUP($AL354,Table1[],6,FALSE)</f>
        <v>#N/A</v>
      </c>
      <c r="AR354" s="3" t="e">
        <f>VLOOKUP($AL354,Table1[],7,FALSE)</f>
        <v>#N/A</v>
      </c>
      <c r="AS354" s="3" t="e">
        <f>VLOOKUP($AL354,Table1[],8,FALSE)</f>
        <v>#N/A</v>
      </c>
    </row>
    <row r="355" spans="1:45" x14ac:dyDescent="0.35">
      <c r="A355" s="2" t="s">
        <v>1063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2" t="s">
        <v>1064</v>
      </c>
      <c r="AL355" s="2" t="s">
        <v>1065</v>
      </c>
      <c r="AM355" s="3" t="e">
        <f>VLOOKUP(AL355,Table1[],2,FALSE)</f>
        <v>#N/A</v>
      </c>
      <c r="AN355" s="3" t="e">
        <f>VLOOKUP(AL355,Table1[],3,FALSE)</f>
        <v>#N/A</v>
      </c>
      <c r="AO355" s="3" t="e">
        <f>VLOOKUP($AL355,Table1[],4,FALSE)</f>
        <v>#N/A</v>
      </c>
      <c r="AP355" s="3" t="e">
        <f>VLOOKUP($AL355,Table1[],5,FALSE)</f>
        <v>#N/A</v>
      </c>
      <c r="AQ355" s="3" t="e">
        <f>VLOOKUP($AL355,Table1[],6,FALSE)</f>
        <v>#N/A</v>
      </c>
      <c r="AR355" s="3" t="e">
        <f>VLOOKUP($AL355,Table1[],7,FALSE)</f>
        <v>#N/A</v>
      </c>
      <c r="AS355" s="3" t="e">
        <f>VLOOKUP($AL355,Table1[],8,FALSE)</f>
        <v>#N/A</v>
      </c>
    </row>
    <row r="356" spans="1:45" x14ac:dyDescent="0.35">
      <c r="A356" s="2" t="s">
        <v>1066</v>
      </c>
      <c r="B356" s="3">
        <v>1132000</v>
      </c>
      <c r="C356" s="3">
        <v>1130800.01</v>
      </c>
      <c r="D356" s="3">
        <v>0</v>
      </c>
      <c r="E356" s="3">
        <v>1130800.01</v>
      </c>
      <c r="F356" s="3">
        <v>1199.99</v>
      </c>
      <c r="G356" s="3">
        <v>1132000</v>
      </c>
      <c r="H356" s="3">
        <v>1130800.01</v>
      </c>
      <c r="I356" s="3">
        <v>0</v>
      </c>
      <c r="J356" s="3">
        <v>1130800.01</v>
      </c>
      <c r="K356" s="3">
        <v>1199.99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1132000</v>
      </c>
      <c r="AG356" s="3">
        <v>1130800.01</v>
      </c>
      <c r="AH356" s="3">
        <v>0</v>
      </c>
      <c r="AI356" s="3">
        <v>1130800.01</v>
      </c>
      <c r="AJ356" s="3">
        <v>1199.99</v>
      </c>
      <c r="AK356" s="2" t="s">
        <v>1067</v>
      </c>
      <c r="AL356" s="2" t="s">
        <v>1068</v>
      </c>
      <c r="AM356" s="3">
        <f>VLOOKUP(AL356,Table1[],2,FALSE)</f>
        <v>0</v>
      </c>
      <c r="AN356" s="3">
        <f>VLOOKUP(AL356,Table1[],3,FALSE)</f>
        <v>0</v>
      </c>
      <c r="AO356" s="3">
        <f>VLOOKUP($AL356,Table1[],4,FALSE)</f>
        <v>0</v>
      </c>
      <c r="AP356" s="3">
        <f>VLOOKUP($AL356,Table1[],5,FALSE)</f>
        <v>0</v>
      </c>
      <c r="AQ356" s="3">
        <f>VLOOKUP($AL356,Table1[],6,FALSE)</f>
        <v>0</v>
      </c>
      <c r="AR356" s="3">
        <f>VLOOKUP($AL356,Table1[],7,FALSE)</f>
        <v>0</v>
      </c>
      <c r="AS356" s="3">
        <f>VLOOKUP($AL356,Table1[],8,FALSE)</f>
        <v>0</v>
      </c>
    </row>
    <row r="357" spans="1:45" x14ac:dyDescent="0.35">
      <c r="A357" s="2" t="s">
        <v>1069</v>
      </c>
      <c r="B357" s="3">
        <v>1500000</v>
      </c>
      <c r="C357" s="3">
        <v>0</v>
      </c>
      <c r="D357" s="3">
        <v>0</v>
      </c>
      <c r="E357" s="3">
        <v>0</v>
      </c>
      <c r="F357" s="3">
        <v>1500000</v>
      </c>
      <c r="G357" s="3">
        <v>1500000</v>
      </c>
      <c r="H357" s="3">
        <v>0</v>
      </c>
      <c r="I357" s="3">
        <v>0</v>
      </c>
      <c r="J357" s="3">
        <v>0</v>
      </c>
      <c r="K357" s="3">
        <v>1500000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1500000</v>
      </c>
      <c r="AG357" s="3">
        <v>0</v>
      </c>
      <c r="AH357" s="3">
        <v>0</v>
      </c>
      <c r="AI357" s="3">
        <v>0</v>
      </c>
      <c r="AJ357" s="3">
        <v>1500000</v>
      </c>
      <c r="AK357" s="2" t="s">
        <v>1070</v>
      </c>
      <c r="AL357" s="2" t="s">
        <v>1071</v>
      </c>
      <c r="AM357" s="3" t="e">
        <f>VLOOKUP(AL357,Table1[],2,FALSE)</f>
        <v>#N/A</v>
      </c>
      <c r="AN357" s="3" t="e">
        <f>VLOOKUP(AL357,Table1[],3,FALSE)</f>
        <v>#N/A</v>
      </c>
      <c r="AO357" s="3" t="e">
        <f>VLOOKUP($AL357,Table1[],4,FALSE)</f>
        <v>#N/A</v>
      </c>
      <c r="AP357" s="3" t="e">
        <f>VLOOKUP($AL357,Table1[],5,FALSE)</f>
        <v>#N/A</v>
      </c>
      <c r="AQ357" s="3" t="e">
        <f>VLOOKUP($AL357,Table1[],6,FALSE)</f>
        <v>#N/A</v>
      </c>
      <c r="AR357" s="3" t="e">
        <f>VLOOKUP($AL357,Table1[],7,FALSE)</f>
        <v>#N/A</v>
      </c>
      <c r="AS357" s="3" t="e">
        <f>VLOOKUP($AL357,Table1[],8,FALSE)</f>
        <v>#N/A</v>
      </c>
    </row>
    <row r="358" spans="1:45" x14ac:dyDescent="0.35">
      <c r="A358" s="2" t="s">
        <v>1072</v>
      </c>
      <c r="B358" s="3">
        <v>0</v>
      </c>
      <c r="C358" s="3">
        <v>-5.04</v>
      </c>
      <c r="D358" s="3">
        <v>0</v>
      </c>
      <c r="E358" s="3">
        <v>-5.04</v>
      </c>
      <c r="F358" s="3">
        <v>5.04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-5.04</v>
      </c>
      <c r="N358" s="3">
        <v>0</v>
      </c>
      <c r="O358" s="3">
        <v>-5.04</v>
      </c>
      <c r="P358" s="3">
        <v>5.04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-5.04</v>
      </c>
      <c r="AH358" s="3">
        <v>0</v>
      </c>
      <c r="AI358" s="3">
        <v>-5.04</v>
      </c>
      <c r="AJ358" s="3">
        <v>5.04</v>
      </c>
      <c r="AK358" s="2" t="s">
        <v>1073</v>
      </c>
      <c r="AL358" s="2" t="s">
        <v>1074</v>
      </c>
      <c r="AM358" s="3">
        <f>VLOOKUP(AL358,Table1[],2,FALSE)</f>
        <v>0</v>
      </c>
      <c r="AN358" s="3">
        <f>VLOOKUP(AL358,Table1[],3,FALSE)</f>
        <v>0</v>
      </c>
      <c r="AO358" s="3">
        <f>VLOOKUP($AL358,Table1[],4,FALSE)</f>
        <v>0</v>
      </c>
      <c r="AP358" s="3">
        <f>VLOOKUP($AL358,Table1[],5,FALSE)</f>
        <v>0</v>
      </c>
      <c r="AQ358" s="3">
        <f>VLOOKUP($AL358,Table1[],6,FALSE)</f>
        <v>0</v>
      </c>
      <c r="AR358" s="3">
        <f>VLOOKUP($AL358,Table1[],7,FALSE)</f>
        <v>0</v>
      </c>
      <c r="AS358" s="3">
        <f>VLOOKUP($AL358,Table1[],8,FALSE)</f>
        <v>0</v>
      </c>
    </row>
    <row r="359" spans="1:45" x14ac:dyDescent="0.35">
      <c r="A359" s="2" t="s">
        <v>1075</v>
      </c>
      <c r="B359" s="3">
        <v>40000000</v>
      </c>
      <c r="C359" s="3">
        <v>34849700</v>
      </c>
      <c r="D359" s="3">
        <v>0</v>
      </c>
      <c r="E359" s="3">
        <v>34849700</v>
      </c>
      <c r="F359" s="3">
        <v>5150300</v>
      </c>
      <c r="G359" s="3">
        <v>40000000</v>
      </c>
      <c r="H359" s="3">
        <v>34849700</v>
      </c>
      <c r="I359" s="3">
        <v>0</v>
      </c>
      <c r="J359" s="3">
        <v>34849700</v>
      </c>
      <c r="K359" s="3">
        <v>5150300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40000000</v>
      </c>
      <c r="AG359" s="3">
        <v>34849700</v>
      </c>
      <c r="AH359" s="3">
        <v>0</v>
      </c>
      <c r="AI359" s="3">
        <v>34849700</v>
      </c>
      <c r="AJ359" s="3">
        <v>5150300</v>
      </c>
      <c r="AK359" s="2" t="s">
        <v>1076</v>
      </c>
      <c r="AL359" s="2" t="s">
        <v>1077</v>
      </c>
      <c r="AM359" s="3">
        <f>VLOOKUP(AL359,Table1[],2,FALSE)</f>
        <v>0</v>
      </c>
      <c r="AN359" s="3">
        <f>VLOOKUP(AL359,Table1[],3,FALSE)</f>
        <v>0</v>
      </c>
      <c r="AO359" s="3">
        <f>VLOOKUP($AL359,Table1[],4,FALSE)</f>
        <v>0</v>
      </c>
      <c r="AP359" s="3">
        <f>VLOOKUP($AL359,Table1[],5,FALSE)</f>
        <v>0</v>
      </c>
      <c r="AQ359" s="3">
        <f>VLOOKUP($AL359,Table1[],6,FALSE)</f>
        <v>0</v>
      </c>
      <c r="AR359" s="3">
        <f>VLOOKUP($AL359,Table1[],7,FALSE)</f>
        <v>0</v>
      </c>
      <c r="AS359" s="3">
        <f>VLOOKUP($AL359,Table1[],8,FALSE)</f>
        <v>0</v>
      </c>
    </row>
    <row r="360" spans="1:45" x14ac:dyDescent="0.35">
      <c r="A360" s="2" t="s">
        <v>1078</v>
      </c>
      <c r="B360" s="3">
        <v>6000000</v>
      </c>
      <c r="C360" s="3">
        <v>5273408.45</v>
      </c>
      <c r="D360" s="3">
        <v>661795.5</v>
      </c>
      <c r="E360" s="3">
        <v>5935203.9500000002</v>
      </c>
      <c r="F360" s="3">
        <v>64796.05</v>
      </c>
      <c r="G360" s="3">
        <v>6000000</v>
      </c>
      <c r="H360" s="3">
        <v>5277608.45</v>
      </c>
      <c r="I360" s="3">
        <v>661795.5</v>
      </c>
      <c r="J360" s="3">
        <v>5939403.9500000002</v>
      </c>
      <c r="K360" s="3">
        <v>60596.05</v>
      </c>
      <c r="L360" s="3">
        <v>0</v>
      </c>
      <c r="M360" s="3">
        <v>-4200</v>
      </c>
      <c r="N360" s="3">
        <v>0</v>
      </c>
      <c r="O360" s="3">
        <v>-4200</v>
      </c>
      <c r="P360" s="3">
        <v>4200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6000000</v>
      </c>
      <c r="AG360" s="3">
        <v>5273408.45</v>
      </c>
      <c r="AH360" s="3">
        <v>661795.5</v>
      </c>
      <c r="AI360" s="3">
        <v>5935203.9500000002</v>
      </c>
      <c r="AJ360" s="3">
        <v>64796.05</v>
      </c>
      <c r="AK360" s="2" t="s">
        <v>1079</v>
      </c>
      <c r="AL360" s="2" t="s">
        <v>1080</v>
      </c>
      <c r="AM360" s="3">
        <f>VLOOKUP(AL360,Table1[],2,FALSE)</f>
        <v>0</v>
      </c>
      <c r="AN360" s="3">
        <f>VLOOKUP(AL360,Table1[],3,FALSE)</f>
        <v>0</v>
      </c>
      <c r="AO360" s="3">
        <f>VLOOKUP($AL360,Table1[],4,FALSE)</f>
        <v>0</v>
      </c>
      <c r="AP360" s="3">
        <f>VLOOKUP($AL360,Table1[],5,FALSE)</f>
        <v>0</v>
      </c>
      <c r="AQ360" s="3">
        <f>VLOOKUP($AL360,Table1[],6,FALSE)</f>
        <v>0</v>
      </c>
      <c r="AR360" s="3">
        <f>VLOOKUP($AL360,Table1[],7,FALSE)</f>
        <v>0</v>
      </c>
      <c r="AS360" s="3">
        <f>VLOOKUP($AL360,Table1[],8,FALSE)</f>
        <v>0</v>
      </c>
    </row>
    <row r="361" spans="1:45" x14ac:dyDescent="0.35">
      <c r="A361" s="2" t="s">
        <v>1081</v>
      </c>
      <c r="B361" s="3">
        <v>6380000</v>
      </c>
      <c r="C361" s="3">
        <v>3796448</v>
      </c>
      <c r="D361" s="3">
        <v>1972000</v>
      </c>
      <c r="E361" s="3">
        <v>5768448</v>
      </c>
      <c r="F361" s="3">
        <v>611552</v>
      </c>
      <c r="G361" s="3">
        <v>6380000</v>
      </c>
      <c r="H361" s="3">
        <v>3796448</v>
      </c>
      <c r="I361" s="3">
        <v>1972000</v>
      </c>
      <c r="J361" s="3">
        <v>5768448</v>
      </c>
      <c r="K361" s="3">
        <v>611552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6380000</v>
      </c>
      <c r="AG361" s="3">
        <v>3796448</v>
      </c>
      <c r="AH361" s="3">
        <v>1972000</v>
      </c>
      <c r="AI361" s="3">
        <v>5768448</v>
      </c>
      <c r="AJ361" s="3">
        <v>611552</v>
      </c>
      <c r="AK361" s="2" t="s">
        <v>1082</v>
      </c>
      <c r="AL361" s="2" t="s">
        <v>1083</v>
      </c>
      <c r="AM361" s="3">
        <f>VLOOKUP(AL361,Table1[],2,FALSE)</f>
        <v>0</v>
      </c>
      <c r="AN361" s="3">
        <f>VLOOKUP(AL361,Table1[],3,FALSE)</f>
        <v>0</v>
      </c>
      <c r="AO361" s="3">
        <f>VLOOKUP($AL361,Table1[],4,FALSE)</f>
        <v>0</v>
      </c>
      <c r="AP361" s="3">
        <f>VLOOKUP($AL361,Table1[],5,FALSE)</f>
        <v>0</v>
      </c>
      <c r="AQ361" s="3">
        <f>VLOOKUP($AL361,Table1[],6,FALSE)</f>
        <v>0</v>
      </c>
      <c r="AR361" s="3">
        <f>VLOOKUP($AL361,Table1[],7,FALSE)</f>
        <v>0</v>
      </c>
      <c r="AS361" s="3">
        <f>VLOOKUP($AL361,Table1[],8,FALSE)</f>
        <v>0</v>
      </c>
    </row>
    <row r="362" spans="1:45" x14ac:dyDescent="0.35">
      <c r="A362" s="2" t="s">
        <v>1084</v>
      </c>
      <c r="B362" s="3">
        <v>9182000</v>
      </c>
      <c r="C362" s="3">
        <v>9181534</v>
      </c>
      <c r="D362" s="3">
        <v>0</v>
      </c>
      <c r="E362" s="3">
        <v>9181534</v>
      </c>
      <c r="F362" s="3">
        <v>466</v>
      </c>
      <c r="G362" s="3">
        <v>9182000</v>
      </c>
      <c r="H362" s="3">
        <v>9181534</v>
      </c>
      <c r="I362" s="3">
        <v>0</v>
      </c>
      <c r="J362" s="3">
        <v>9181534</v>
      </c>
      <c r="K362" s="3">
        <v>466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9182000</v>
      </c>
      <c r="AG362" s="3">
        <v>9181534</v>
      </c>
      <c r="AH362" s="3">
        <v>0</v>
      </c>
      <c r="AI362" s="3">
        <v>9181534</v>
      </c>
      <c r="AJ362" s="3">
        <v>466</v>
      </c>
      <c r="AK362" s="2" t="s">
        <v>406</v>
      </c>
      <c r="AL362" s="2" t="s">
        <v>1085</v>
      </c>
      <c r="AM362" s="3">
        <f>VLOOKUP(AL362,Table1[],2,FALSE)</f>
        <v>0</v>
      </c>
      <c r="AN362" s="3">
        <f>VLOOKUP(AL362,Table1[],3,FALSE)</f>
        <v>0</v>
      </c>
      <c r="AO362" s="3">
        <f>VLOOKUP($AL362,Table1[],4,FALSE)</f>
        <v>0</v>
      </c>
      <c r="AP362" s="3">
        <f>VLOOKUP($AL362,Table1[],5,FALSE)</f>
        <v>0</v>
      </c>
      <c r="AQ362" s="3">
        <f>VLOOKUP($AL362,Table1[],6,FALSE)</f>
        <v>0</v>
      </c>
      <c r="AR362" s="3">
        <f>VLOOKUP($AL362,Table1[],7,FALSE)</f>
        <v>0</v>
      </c>
      <c r="AS362" s="3">
        <f>VLOOKUP($AL362,Table1[],8,FALSE)</f>
        <v>0</v>
      </c>
    </row>
    <row r="363" spans="1:45" x14ac:dyDescent="0.35">
      <c r="A363" s="2" t="s">
        <v>1086</v>
      </c>
      <c r="B363" s="3">
        <v>5200000</v>
      </c>
      <c r="C363" s="3">
        <v>3962794</v>
      </c>
      <c r="D363" s="3">
        <v>1180000</v>
      </c>
      <c r="E363" s="3">
        <v>5142794</v>
      </c>
      <c r="F363" s="3">
        <v>57206</v>
      </c>
      <c r="G363" s="3">
        <v>5200000</v>
      </c>
      <c r="H363" s="3">
        <v>3962794</v>
      </c>
      <c r="I363" s="3">
        <v>1180000</v>
      </c>
      <c r="J363" s="3">
        <v>5142794</v>
      </c>
      <c r="K363" s="3">
        <v>57206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5200000</v>
      </c>
      <c r="AG363" s="3">
        <v>3962794</v>
      </c>
      <c r="AH363" s="3">
        <v>1180000</v>
      </c>
      <c r="AI363" s="3">
        <v>5142794</v>
      </c>
      <c r="AJ363" s="3">
        <v>57206</v>
      </c>
      <c r="AK363" s="2" t="s">
        <v>1087</v>
      </c>
      <c r="AL363" s="2" t="s">
        <v>1088</v>
      </c>
      <c r="AM363" s="3">
        <f>VLOOKUP(AL363,Table1[],2,FALSE)</f>
        <v>0</v>
      </c>
      <c r="AN363" s="3">
        <f>VLOOKUP(AL363,Table1[],3,FALSE)</f>
        <v>0</v>
      </c>
      <c r="AO363" s="3">
        <f>VLOOKUP($AL363,Table1[],4,FALSE)</f>
        <v>0</v>
      </c>
      <c r="AP363" s="3">
        <f>VLOOKUP($AL363,Table1[],5,FALSE)</f>
        <v>0</v>
      </c>
      <c r="AQ363" s="3">
        <f>VLOOKUP($AL363,Table1[],6,FALSE)</f>
        <v>0</v>
      </c>
      <c r="AR363" s="3">
        <f>VLOOKUP($AL363,Table1[],7,FALSE)</f>
        <v>0</v>
      </c>
      <c r="AS363" s="3">
        <f>VLOOKUP($AL363,Table1[],8,FALSE)</f>
        <v>0</v>
      </c>
    </row>
    <row r="364" spans="1:45" x14ac:dyDescent="0.35">
      <c r="A364" s="2" t="s">
        <v>1089</v>
      </c>
      <c r="B364" s="3">
        <v>1200000</v>
      </c>
      <c r="C364" s="3">
        <v>0</v>
      </c>
      <c r="D364" s="3">
        <v>0</v>
      </c>
      <c r="E364" s="3">
        <v>0</v>
      </c>
      <c r="F364" s="3">
        <v>1200000</v>
      </c>
      <c r="G364" s="3">
        <v>1200000</v>
      </c>
      <c r="H364" s="3">
        <v>0</v>
      </c>
      <c r="I364" s="3">
        <v>0</v>
      </c>
      <c r="J364" s="3">
        <v>0</v>
      </c>
      <c r="K364" s="3">
        <v>1200000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1200000</v>
      </c>
      <c r="AG364" s="3">
        <v>0</v>
      </c>
      <c r="AH364" s="3">
        <v>0</v>
      </c>
      <c r="AI364" s="3">
        <v>0</v>
      </c>
      <c r="AJ364" s="3">
        <v>1200000</v>
      </c>
      <c r="AK364" s="2" t="s">
        <v>1090</v>
      </c>
      <c r="AL364" s="2" t="s">
        <v>1091</v>
      </c>
      <c r="AM364" s="3" t="e">
        <f>VLOOKUP(AL364,Table1[],2,FALSE)</f>
        <v>#N/A</v>
      </c>
      <c r="AN364" s="3" t="e">
        <f>VLOOKUP(AL364,Table1[],3,FALSE)</f>
        <v>#N/A</v>
      </c>
      <c r="AO364" s="3" t="e">
        <f>VLOOKUP($AL364,Table1[],4,FALSE)</f>
        <v>#N/A</v>
      </c>
      <c r="AP364" s="3" t="e">
        <f>VLOOKUP($AL364,Table1[],5,FALSE)</f>
        <v>#N/A</v>
      </c>
      <c r="AQ364" s="3" t="e">
        <f>VLOOKUP($AL364,Table1[],6,FALSE)</f>
        <v>#N/A</v>
      </c>
      <c r="AR364" s="3" t="e">
        <f>VLOOKUP($AL364,Table1[],7,FALSE)</f>
        <v>#N/A</v>
      </c>
      <c r="AS364" s="3" t="e">
        <f>VLOOKUP($AL364,Table1[],8,FALSE)</f>
        <v>#N/A</v>
      </c>
    </row>
    <row r="365" spans="1:45" x14ac:dyDescent="0.35">
      <c r="A365" s="2" t="s">
        <v>1092</v>
      </c>
      <c r="B365" s="3">
        <v>1200000</v>
      </c>
      <c r="C365" s="3">
        <v>1072095.2</v>
      </c>
      <c r="D365" s="3">
        <v>0</v>
      </c>
      <c r="E365" s="3">
        <v>1072095.2</v>
      </c>
      <c r="F365" s="3">
        <v>127904.8</v>
      </c>
      <c r="G365" s="3">
        <v>1200000</v>
      </c>
      <c r="H365" s="3">
        <v>1072095.2</v>
      </c>
      <c r="I365" s="3">
        <v>0</v>
      </c>
      <c r="J365" s="3">
        <v>1072095.2</v>
      </c>
      <c r="K365" s="3">
        <v>127904.8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1200000</v>
      </c>
      <c r="AG365" s="3">
        <v>1072095.2</v>
      </c>
      <c r="AH365" s="3">
        <v>0</v>
      </c>
      <c r="AI365" s="3">
        <v>1072095.2</v>
      </c>
      <c r="AJ365" s="3">
        <v>127904.8</v>
      </c>
      <c r="AK365" s="2" t="s">
        <v>1093</v>
      </c>
      <c r="AL365" s="2" t="s">
        <v>1094</v>
      </c>
      <c r="AM365" s="3">
        <f>VLOOKUP(AL365,Table1[],2,FALSE)</f>
        <v>0</v>
      </c>
      <c r="AN365" s="3">
        <f>VLOOKUP(AL365,Table1[],3,FALSE)</f>
        <v>0</v>
      </c>
      <c r="AO365" s="3">
        <f>VLOOKUP($AL365,Table1[],4,FALSE)</f>
        <v>0</v>
      </c>
      <c r="AP365" s="3">
        <f>VLOOKUP($AL365,Table1[],5,FALSE)</f>
        <v>0</v>
      </c>
      <c r="AQ365" s="3">
        <f>VLOOKUP($AL365,Table1[],6,FALSE)</f>
        <v>0</v>
      </c>
      <c r="AR365" s="3">
        <f>VLOOKUP($AL365,Table1[],7,FALSE)</f>
        <v>0</v>
      </c>
      <c r="AS365" s="3">
        <f>VLOOKUP($AL365,Table1[],8,FALSE)</f>
        <v>0</v>
      </c>
    </row>
    <row r="366" spans="1:45" x14ac:dyDescent="0.35">
      <c r="A366" s="2" t="s">
        <v>1095</v>
      </c>
      <c r="B366" s="3">
        <v>200000</v>
      </c>
      <c r="C366" s="3">
        <v>198023.62</v>
      </c>
      <c r="D366" s="3">
        <v>0</v>
      </c>
      <c r="E366" s="3">
        <v>198023.62</v>
      </c>
      <c r="F366" s="3">
        <v>1976.38</v>
      </c>
      <c r="G366" s="3">
        <v>200000</v>
      </c>
      <c r="H366" s="3">
        <v>198023.62</v>
      </c>
      <c r="I366" s="3">
        <v>0</v>
      </c>
      <c r="J366" s="3">
        <v>198023.62</v>
      </c>
      <c r="K366" s="3">
        <v>1976.38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200000</v>
      </c>
      <c r="AG366" s="3">
        <v>198023.62</v>
      </c>
      <c r="AH366" s="3">
        <v>0</v>
      </c>
      <c r="AI366" s="3">
        <v>198023.62</v>
      </c>
      <c r="AJ366" s="3">
        <v>1976.38</v>
      </c>
      <c r="AK366" s="2" t="s">
        <v>1096</v>
      </c>
      <c r="AL366" s="2" t="s">
        <v>1097</v>
      </c>
      <c r="AM366" s="3">
        <f>VLOOKUP(AL366,Table1[],2,FALSE)</f>
        <v>0</v>
      </c>
      <c r="AN366" s="3">
        <f>VLOOKUP(AL366,Table1[],3,FALSE)</f>
        <v>0</v>
      </c>
      <c r="AO366" s="3">
        <f>VLOOKUP($AL366,Table1[],4,FALSE)</f>
        <v>0</v>
      </c>
      <c r="AP366" s="3">
        <f>VLOOKUP($AL366,Table1[],5,FALSE)</f>
        <v>0</v>
      </c>
      <c r="AQ366" s="3">
        <f>VLOOKUP($AL366,Table1[],6,FALSE)</f>
        <v>0</v>
      </c>
      <c r="AR366" s="3">
        <f>VLOOKUP($AL366,Table1[],7,FALSE)</f>
        <v>0</v>
      </c>
      <c r="AS366" s="3">
        <f>VLOOKUP($AL366,Table1[],8,FALSE)</f>
        <v>0</v>
      </c>
    </row>
    <row r="367" spans="1:45" x14ac:dyDescent="0.35">
      <c r="A367" s="2" t="s">
        <v>1098</v>
      </c>
      <c r="B367" s="3">
        <v>789728.9</v>
      </c>
      <c r="C367" s="3">
        <v>789728.9</v>
      </c>
      <c r="D367" s="3">
        <v>0</v>
      </c>
      <c r="E367" s="3">
        <v>789728.9</v>
      </c>
      <c r="F367" s="3">
        <v>0</v>
      </c>
      <c r="G367" s="3">
        <v>789728.9</v>
      </c>
      <c r="H367" s="3">
        <v>789728.9</v>
      </c>
      <c r="I367" s="3">
        <v>0</v>
      </c>
      <c r="J367" s="3">
        <v>789728.9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789728.9</v>
      </c>
      <c r="AG367" s="3">
        <v>789728.9</v>
      </c>
      <c r="AH367" s="3">
        <v>0</v>
      </c>
      <c r="AI367" s="3">
        <v>789728.9</v>
      </c>
      <c r="AJ367" s="3">
        <v>0</v>
      </c>
      <c r="AK367" s="2" t="s">
        <v>1099</v>
      </c>
      <c r="AL367" s="2" t="s">
        <v>1100</v>
      </c>
      <c r="AM367" s="3">
        <f>VLOOKUP(AL367,Table1[],2,FALSE)</f>
        <v>0</v>
      </c>
      <c r="AN367" s="3">
        <f>VLOOKUP(AL367,Table1[],3,FALSE)</f>
        <v>0</v>
      </c>
      <c r="AO367" s="3">
        <f>VLOOKUP($AL367,Table1[],4,FALSE)</f>
        <v>0</v>
      </c>
      <c r="AP367" s="3">
        <f>VLOOKUP($AL367,Table1[],5,FALSE)</f>
        <v>0</v>
      </c>
      <c r="AQ367" s="3">
        <f>VLOOKUP($AL367,Table1[],6,FALSE)</f>
        <v>0</v>
      </c>
      <c r="AR367" s="3">
        <f>VLOOKUP($AL367,Table1[],7,FALSE)</f>
        <v>0</v>
      </c>
      <c r="AS367" s="3">
        <f>VLOOKUP($AL367,Table1[],8,FALSE)</f>
        <v>0</v>
      </c>
    </row>
    <row r="368" spans="1:45" x14ac:dyDescent="0.35">
      <c r="A368" s="2" t="s">
        <v>1101</v>
      </c>
      <c r="B368" s="3">
        <v>826202.01</v>
      </c>
      <c r="C368" s="3">
        <v>826202.01</v>
      </c>
      <c r="D368" s="3">
        <v>0</v>
      </c>
      <c r="E368" s="3">
        <v>826202.01</v>
      </c>
      <c r="F368" s="3">
        <v>0</v>
      </c>
      <c r="G368" s="3">
        <v>826202.01</v>
      </c>
      <c r="H368" s="3">
        <v>826202.01</v>
      </c>
      <c r="I368" s="3">
        <v>0</v>
      </c>
      <c r="J368" s="3">
        <v>826202.01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826202.01</v>
      </c>
      <c r="AG368" s="3">
        <v>826202.01</v>
      </c>
      <c r="AH368" s="3">
        <v>0</v>
      </c>
      <c r="AI368" s="3">
        <v>826202.01</v>
      </c>
      <c r="AJ368" s="3">
        <v>0</v>
      </c>
      <c r="AK368" s="2" t="s">
        <v>1102</v>
      </c>
      <c r="AL368" s="2" t="s">
        <v>1103</v>
      </c>
      <c r="AM368" s="3">
        <f>VLOOKUP(AL368,Table1[],2,FALSE)</f>
        <v>0</v>
      </c>
      <c r="AN368" s="3">
        <f>VLOOKUP(AL368,Table1[],3,FALSE)</f>
        <v>0</v>
      </c>
      <c r="AO368" s="3">
        <f>VLOOKUP($AL368,Table1[],4,FALSE)</f>
        <v>0</v>
      </c>
      <c r="AP368" s="3">
        <f>VLOOKUP($AL368,Table1[],5,FALSE)</f>
        <v>0</v>
      </c>
      <c r="AQ368" s="3">
        <f>VLOOKUP($AL368,Table1[],6,FALSE)</f>
        <v>0</v>
      </c>
      <c r="AR368" s="3">
        <f>VLOOKUP($AL368,Table1[],7,FALSE)</f>
        <v>0</v>
      </c>
      <c r="AS368" s="3">
        <f>VLOOKUP($AL368,Table1[],8,FALSE)</f>
        <v>0</v>
      </c>
    </row>
    <row r="369" spans="1:45" x14ac:dyDescent="0.35">
      <c r="A369" s="2" t="s">
        <v>1104</v>
      </c>
      <c r="B369" s="3">
        <v>1180662.8999999999</v>
      </c>
      <c r="C369" s="3">
        <v>1180662.8999999999</v>
      </c>
      <c r="D369" s="3">
        <v>0</v>
      </c>
      <c r="E369" s="3">
        <v>1180662.8999999999</v>
      </c>
      <c r="F369" s="3">
        <v>0</v>
      </c>
      <c r="G369" s="3">
        <v>1180662.8999999999</v>
      </c>
      <c r="H369" s="3">
        <v>1180662.8999999999</v>
      </c>
      <c r="I369" s="3">
        <v>0</v>
      </c>
      <c r="J369" s="3">
        <v>1180662.8999999999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1180662.8999999999</v>
      </c>
      <c r="AG369" s="3">
        <v>1180662.8999999999</v>
      </c>
      <c r="AH369" s="3">
        <v>0</v>
      </c>
      <c r="AI369" s="3">
        <v>1180662.8999999999</v>
      </c>
      <c r="AJ369" s="3">
        <v>0</v>
      </c>
      <c r="AK369" s="2" t="s">
        <v>1105</v>
      </c>
      <c r="AL369" s="2" t="s">
        <v>1106</v>
      </c>
      <c r="AM369" s="3">
        <f>VLOOKUP(AL369,Table1[],2,FALSE)</f>
        <v>0</v>
      </c>
      <c r="AN369" s="3">
        <f>VLOOKUP(AL369,Table1[],3,FALSE)</f>
        <v>0</v>
      </c>
      <c r="AO369" s="3">
        <f>VLOOKUP($AL369,Table1[],4,FALSE)</f>
        <v>0</v>
      </c>
      <c r="AP369" s="3">
        <f>VLOOKUP($AL369,Table1[],5,FALSE)</f>
        <v>0</v>
      </c>
      <c r="AQ369" s="3">
        <f>VLOOKUP($AL369,Table1[],6,FALSE)</f>
        <v>0</v>
      </c>
      <c r="AR369" s="3">
        <f>VLOOKUP($AL369,Table1[],7,FALSE)</f>
        <v>0</v>
      </c>
      <c r="AS369" s="3">
        <f>VLOOKUP($AL369,Table1[],8,FALSE)</f>
        <v>0</v>
      </c>
    </row>
    <row r="370" spans="1:45" x14ac:dyDescent="0.35">
      <c r="A370" s="2" t="s">
        <v>1107</v>
      </c>
      <c r="B370" s="3">
        <v>0</v>
      </c>
      <c r="C370" s="3">
        <v>960077.98</v>
      </c>
      <c r="D370" s="3">
        <v>0</v>
      </c>
      <c r="E370" s="3">
        <v>960077.98</v>
      </c>
      <c r="F370" s="3">
        <v>-960077.98</v>
      </c>
      <c r="G370" s="3">
        <v>0</v>
      </c>
      <c r="H370" s="3">
        <v>960077.98</v>
      </c>
      <c r="I370" s="3">
        <v>0</v>
      </c>
      <c r="J370" s="3">
        <v>960077.98</v>
      </c>
      <c r="K370" s="3">
        <v>-960077.98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960077.98</v>
      </c>
      <c r="AH370" s="3">
        <v>0</v>
      </c>
      <c r="AI370" s="3">
        <v>960077.98</v>
      </c>
      <c r="AJ370" s="3">
        <v>-960077.98</v>
      </c>
      <c r="AK370" s="2" t="s">
        <v>1108</v>
      </c>
      <c r="AL370" s="2" t="s">
        <v>1109</v>
      </c>
      <c r="AM370" s="3">
        <f>VLOOKUP(AL370,Table1[],2,FALSE)</f>
        <v>0</v>
      </c>
      <c r="AN370" s="3">
        <f>VLOOKUP(AL370,Table1[],3,FALSE)</f>
        <v>0</v>
      </c>
      <c r="AO370" s="3">
        <f>VLOOKUP($AL370,Table1[],4,FALSE)</f>
        <v>0</v>
      </c>
      <c r="AP370" s="3">
        <f>VLOOKUP($AL370,Table1[],5,FALSE)</f>
        <v>0</v>
      </c>
      <c r="AQ370" s="3">
        <f>VLOOKUP($AL370,Table1[],6,FALSE)</f>
        <v>0</v>
      </c>
      <c r="AR370" s="3">
        <f>VLOOKUP($AL370,Table1[],7,FALSE)</f>
        <v>0</v>
      </c>
      <c r="AS370" s="3">
        <f>VLOOKUP($AL370,Table1[],8,FALSE)</f>
        <v>0</v>
      </c>
    </row>
    <row r="371" spans="1:45" x14ac:dyDescent="0.35">
      <c r="A371" s="2" t="s">
        <v>1110</v>
      </c>
      <c r="B371" s="3">
        <v>2225828.02</v>
      </c>
      <c r="C371" s="3">
        <v>2169484.36</v>
      </c>
      <c r="D371" s="3">
        <v>0</v>
      </c>
      <c r="E371" s="3">
        <v>2169484.36</v>
      </c>
      <c r="F371" s="3">
        <v>56343.66</v>
      </c>
      <c r="G371" s="3">
        <v>1125828.02</v>
      </c>
      <c r="H371" s="3">
        <v>1125828.02</v>
      </c>
      <c r="I371" s="3">
        <v>0</v>
      </c>
      <c r="J371" s="3">
        <v>1125828.02</v>
      </c>
      <c r="K371" s="3">
        <v>0</v>
      </c>
      <c r="L371" s="3">
        <v>1100000</v>
      </c>
      <c r="M371" s="3">
        <v>1043656.34</v>
      </c>
      <c r="N371" s="3">
        <v>0</v>
      </c>
      <c r="O371" s="3">
        <v>1043656.34</v>
      </c>
      <c r="P371" s="3">
        <v>56343.66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2225828.02</v>
      </c>
      <c r="AG371" s="3">
        <v>2169484.36</v>
      </c>
      <c r="AH371" s="3">
        <v>0</v>
      </c>
      <c r="AI371" s="3">
        <v>2169484.36</v>
      </c>
      <c r="AJ371" s="3">
        <v>56343.66</v>
      </c>
      <c r="AK371" s="2" t="s">
        <v>1111</v>
      </c>
      <c r="AL371" s="2" t="s">
        <v>1112</v>
      </c>
      <c r="AM371" s="3">
        <f>VLOOKUP(AL371,Table1[],2,FALSE)</f>
        <v>0</v>
      </c>
      <c r="AN371" s="3">
        <f>VLOOKUP(AL371,Table1[],3,FALSE)</f>
        <v>0</v>
      </c>
      <c r="AO371" s="3">
        <f>VLOOKUP($AL371,Table1[],4,FALSE)</f>
        <v>0</v>
      </c>
      <c r="AP371" s="3">
        <f>VLOOKUP($AL371,Table1[],5,FALSE)</f>
        <v>0</v>
      </c>
      <c r="AQ371" s="3">
        <f>VLOOKUP($AL371,Table1[],6,FALSE)</f>
        <v>0</v>
      </c>
      <c r="AR371" s="3">
        <f>VLOOKUP($AL371,Table1[],7,FALSE)</f>
        <v>0</v>
      </c>
      <c r="AS371" s="3">
        <f>VLOOKUP($AL371,Table1[],8,FALSE)</f>
        <v>0</v>
      </c>
    </row>
    <row r="372" spans="1:45" x14ac:dyDescent="0.35">
      <c r="A372" s="2" t="s">
        <v>1113</v>
      </c>
      <c r="B372" s="3">
        <v>0</v>
      </c>
      <c r="C372" s="3">
        <v>825642</v>
      </c>
      <c r="D372" s="3">
        <v>0</v>
      </c>
      <c r="E372" s="3">
        <v>825642</v>
      </c>
      <c r="F372" s="3">
        <v>-825642</v>
      </c>
      <c r="G372" s="3">
        <v>0</v>
      </c>
      <c r="H372" s="3">
        <v>825642</v>
      </c>
      <c r="I372" s="3">
        <v>0</v>
      </c>
      <c r="J372" s="3">
        <v>825642</v>
      </c>
      <c r="K372" s="3">
        <v>-825642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825642</v>
      </c>
      <c r="AH372" s="3">
        <v>0</v>
      </c>
      <c r="AI372" s="3">
        <v>825642</v>
      </c>
      <c r="AJ372" s="3">
        <v>-825642</v>
      </c>
      <c r="AK372" s="2" t="s">
        <v>1114</v>
      </c>
      <c r="AL372" s="2" t="s">
        <v>1115</v>
      </c>
      <c r="AM372" s="3">
        <f>VLOOKUP(AL372,Table1[],2,FALSE)</f>
        <v>0</v>
      </c>
      <c r="AN372" s="3">
        <f>VLOOKUP(AL372,Table1[],3,FALSE)</f>
        <v>0</v>
      </c>
      <c r="AO372" s="3">
        <f>VLOOKUP($AL372,Table1[],4,FALSE)</f>
        <v>0</v>
      </c>
      <c r="AP372" s="3">
        <f>VLOOKUP($AL372,Table1[],5,FALSE)</f>
        <v>0</v>
      </c>
      <c r="AQ372" s="3">
        <f>VLOOKUP($AL372,Table1[],6,FALSE)</f>
        <v>0</v>
      </c>
      <c r="AR372" s="3">
        <f>VLOOKUP($AL372,Table1[],7,FALSE)</f>
        <v>0</v>
      </c>
      <c r="AS372" s="3">
        <f>VLOOKUP($AL372,Table1[],8,FALSE)</f>
        <v>0</v>
      </c>
    </row>
    <row r="373" spans="1:45" x14ac:dyDescent="0.35">
      <c r="A373" s="2" t="s">
        <v>1116</v>
      </c>
      <c r="B373" s="3">
        <v>1057087.73</v>
      </c>
      <c r="C373" s="3">
        <v>1056714.1100000001</v>
      </c>
      <c r="D373" s="3">
        <v>0</v>
      </c>
      <c r="E373" s="3">
        <v>1056714.1100000001</v>
      </c>
      <c r="F373" s="3">
        <v>373.62</v>
      </c>
      <c r="G373" s="3">
        <v>557087.73</v>
      </c>
      <c r="H373" s="3">
        <v>557087.73</v>
      </c>
      <c r="I373" s="3">
        <v>0</v>
      </c>
      <c r="J373" s="3">
        <v>557087.73</v>
      </c>
      <c r="K373" s="3">
        <v>0</v>
      </c>
      <c r="L373" s="3">
        <v>500000</v>
      </c>
      <c r="M373" s="3">
        <v>499626.38</v>
      </c>
      <c r="N373" s="3">
        <v>0</v>
      </c>
      <c r="O373" s="3">
        <v>499626.38</v>
      </c>
      <c r="P373" s="3">
        <v>373.62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1057087.73</v>
      </c>
      <c r="AG373" s="3">
        <v>1056714.1100000001</v>
      </c>
      <c r="AH373" s="3">
        <v>0</v>
      </c>
      <c r="AI373" s="3">
        <v>1056714.1100000001</v>
      </c>
      <c r="AJ373" s="3">
        <v>373.62</v>
      </c>
      <c r="AK373" s="2" t="s">
        <v>1117</v>
      </c>
      <c r="AL373" s="2" t="s">
        <v>1118</v>
      </c>
      <c r="AM373" s="3">
        <f>VLOOKUP(AL373,Table1[],2,FALSE)</f>
        <v>0</v>
      </c>
      <c r="AN373" s="3">
        <f>VLOOKUP(AL373,Table1[],3,FALSE)</f>
        <v>0</v>
      </c>
      <c r="AO373" s="3">
        <f>VLOOKUP($AL373,Table1[],4,FALSE)</f>
        <v>0</v>
      </c>
      <c r="AP373" s="3">
        <f>VLOOKUP($AL373,Table1[],5,FALSE)</f>
        <v>0</v>
      </c>
      <c r="AQ373" s="3">
        <f>VLOOKUP($AL373,Table1[],6,FALSE)</f>
        <v>0</v>
      </c>
      <c r="AR373" s="3">
        <f>VLOOKUP($AL373,Table1[],7,FALSE)</f>
        <v>0</v>
      </c>
      <c r="AS373" s="3">
        <f>VLOOKUP($AL373,Table1[],8,FALSE)</f>
        <v>0</v>
      </c>
    </row>
    <row r="374" spans="1:45" x14ac:dyDescent="0.35">
      <c r="A374" s="2" t="s">
        <v>1119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2" t="s">
        <v>1120</v>
      </c>
      <c r="AL374" s="2" t="s">
        <v>1121</v>
      </c>
      <c r="AM374" s="3" t="e">
        <f>VLOOKUP(AL374,Table1[],2,FALSE)</f>
        <v>#N/A</v>
      </c>
      <c r="AN374" s="3" t="e">
        <f>VLOOKUP(AL374,Table1[],3,FALSE)</f>
        <v>#N/A</v>
      </c>
      <c r="AO374" s="3" t="e">
        <f>VLOOKUP($AL374,Table1[],4,FALSE)</f>
        <v>#N/A</v>
      </c>
      <c r="AP374" s="3" t="e">
        <f>VLOOKUP($AL374,Table1[],5,FALSE)</f>
        <v>#N/A</v>
      </c>
      <c r="AQ374" s="3" t="e">
        <f>VLOOKUP($AL374,Table1[],6,FALSE)</f>
        <v>#N/A</v>
      </c>
      <c r="AR374" s="3" t="e">
        <f>VLOOKUP($AL374,Table1[],7,FALSE)</f>
        <v>#N/A</v>
      </c>
      <c r="AS374" s="3" t="e">
        <f>VLOOKUP($AL374,Table1[],8,FALSE)</f>
        <v>#N/A</v>
      </c>
    </row>
    <row r="375" spans="1:45" x14ac:dyDescent="0.35">
      <c r="A375" s="2" t="s">
        <v>1122</v>
      </c>
      <c r="B375" s="3">
        <v>1328000</v>
      </c>
      <c r="C375" s="3">
        <v>0</v>
      </c>
      <c r="D375" s="3">
        <v>314756.67</v>
      </c>
      <c r="E375" s="3">
        <v>314756.67</v>
      </c>
      <c r="F375" s="3">
        <v>1013243.33</v>
      </c>
      <c r="G375" s="3">
        <v>0</v>
      </c>
      <c r="H375" s="3">
        <v>0</v>
      </c>
      <c r="I375" s="3">
        <v>314756.67</v>
      </c>
      <c r="J375" s="3">
        <v>314756.67</v>
      </c>
      <c r="K375" s="3">
        <v>-314756.67</v>
      </c>
      <c r="L375" s="3">
        <v>1328000</v>
      </c>
      <c r="M375" s="3">
        <v>0</v>
      </c>
      <c r="N375" s="3">
        <v>0</v>
      </c>
      <c r="O375" s="3">
        <v>0</v>
      </c>
      <c r="P375" s="3">
        <v>1328000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1328000</v>
      </c>
      <c r="AG375" s="3">
        <v>0</v>
      </c>
      <c r="AH375" s="3">
        <v>314756.67</v>
      </c>
      <c r="AI375" s="3">
        <v>314756.67</v>
      </c>
      <c r="AJ375" s="3">
        <v>1013243.33</v>
      </c>
      <c r="AK375" s="2" t="s">
        <v>1123</v>
      </c>
      <c r="AL375" s="2" t="s">
        <v>1124</v>
      </c>
      <c r="AM375" s="3" t="e">
        <f>VLOOKUP(AL375,Table1[],2,FALSE)</f>
        <v>#N/A</v>
      </c>
      <c r="AN375" s="3" t="e">
        <f>VLOOKUP(AL375,Table1[],3,FALSE)</f>
        <v>#N/A</v>
      </c>
      <c r="AO375" s="3" t="e">
        <f>VLOOKUP($AL375,Table1[],4,FALSE)</f>
        <v>#N/A</v>
      </c>
      <c r="AP375" s="3" t="e">
        <f>VLOOKUP($AL375,Table1[],5,FALSE)</f>
        <v>#N/A</v>
      </c>
      <c r="AQ375" s="3" t="e">
        <f>VLOOKUP($AL375,Table1[],6,FALSE)</f>
        <v>#N/A</v>
      </c>
      <c r="AR375" s="3" t="e">
        <f>VLOOKUP($AL375,Table1[],7,FALSE)</f>
        <v>#N/A</v>
      </c>
      <c r="AS375" s="3" t="e">
        <f>VLOOKUP($AL375,Table1[],8,FALSE)</f>
        <v>#N/A</v>
      </c>
    </row>
    <row r="376" spans="1:45" x14ac:dyDescent="0.35">
      <c r="A376" s="2" t="s">
        <v>1125</v>
      </c>
      <c r="B376" s="3">
        <v>6000000</v>
      </c>
      <c r="C376" s="3">
        <v>6000000</v>
      </c>
      <c r="D376" s="3">
        <v>0</v>
      </c>
      <c r="E376" s="3">
        <v>6000000</v>
      </c>
      <c r="F376" s="3">
        <v>0</v>
      </c>
      <c r="G376" s="3">
        <v>6000000</v>
      </c>
      <c r="H376" s="3">
        <v>6000000</v>
      </c>
      <c r="I376" s="3">
        <v>0</v>
      </c>
      <c r="J376" s="3">
        <v>6000000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6000000</v>
      </c>
      <c r="AG376" s="3">
        <v>6000000</v>
      </c>
      <c r="AH376" s="3">
        <v>0</v>
      </c>
      <c r="AI376" s="3">
        <v>6000000</v>
      </c>
      <c r="AJ376" s="3">
        <v>0</v>
      </c>
      <c r="AK376" s="2" t="s">
        <v>1126</v>
      </c>
      <c r="AL376" s="2" t="s">
        <v>1127</v>
      </c>
      <c r="AM376" s="3">
        <f>VLOOKUP(AL376,Table1[],2,FALSE)</f>
        <v>0</v>
      </c>
      <c r="AN376" s="3">
        <f>VLOOKUP(AL376,Table1[],3,FALSE)</f>
        <v>0</v>
      </c>
      <c r="AO376" s="3">
        <f>VLOOKUP($AL376,Table1[],4,FALSE)</f>
        <v>0</v>
      </c>
      <c r="AP376" s="3">
        <f>VLOOKUP($AL376,Table1[],5,FALSE)</f>
        <v>0</v>
      </c>
      <c r="AQ376" s="3">
        <f>VLOOKUP($AL376,Table1[],6,FALSE)</f>
        <v>0</v>
      </c>
      <c r="AR376" s="3">
        <f>VLOOKUP($AL376,Table1[],7,FALSE)</f>
        <v>0</v>
      </c>
      <c r="AS376" s="3">
        <f>VLOOKUP($AL376,Table1[],8,FALSE)</f>
        <v>0</v>
      </c>
    </row>
    <row r="377" spans="1:45" x14ac:dyDescent="0.35">
      <c r="A377" s="2" t="s">
        <v>1128</v>
      </c>
      <c r="B377" s="3">
        <v>2000000</v>
      </c>
      <c r="C377" s="3">
        <v>0</v>
      </c>
      <c r="D377" s="3">
        <v>0</v>
      </c>
      <c r="E377" s="3">
        <v>0</v>
      </c>
      <c r="F377" s="3">
        <v>2000000</v>
      </c>
      <c r="G377" s="3">
        <v>2000000</v>
      </c>
      <c r="H377" s="3">
        <v>0</v>
      </c>
      <c r="I377" s="3">
        <v>0</v>
      </c>
      <c r="J377" s="3">
        <v>0</v>
      </c>
      <c r="K377" s="3">
        <v>2000000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2000000</v>
      </c>
      <c r="AG377" s="3">
        <v>0</v>
      </c>
      <c r="AH377" s="3">
        <v>0</v>
      </c>
      <c r="AI377" s="3">
        <v>0</v>
      </c>
      <c r="AJ377" s="3">
        <v>2000000</v>
      </c>
      <c r="AK377" s="2" t="s">
        <v>1129</v>
      </c>
      <c r="AL377" s="2" t="s">
        <v>1130</v>
      </c>
      <c r="AM377" s="3" t="e">
        <f>VLOOKUP(AL377,Table1[],2,FALSE)</f>
        <v>#N/A</v>
      </c>
      <c r="AN377" s="3" t="e">
        <f>VLOOKUP(AL377,Table1[],3,FALSE)</f>
        <v>#N/A</v>
      </c>
      <c r="AO377" s="3" t="e">
        <f>VLOOKUP($AL377,Table1[],4,FALSE)</f>
        <v>#N/A</v>
      </c>
      <c r="AP377" s="3" t="e">
        <f>VLOOKUP($AL377,Table1[],5,FALSE)</f>
        <v>#N/A</v>
      </c>
      <c r="AQ377" s="3" t="e">
        <f>VLOOKUP($AL377,Table1[],6,FALSE)</f>
        <v>#N/A</v>
      </c>
      <c r="AR377" s="3" t="e">
        <f>VLOOKUP($AL377,Table1[],7,FALSE)</f>
        <v>#N/A</v>
      </c>
      <c r="AS377" s="3" t="e">
        <f>VLOOKUP($AL377,Table1[],8,FALSE)</f>
        <v>#N/A</v>
      </c>
    </row>
    <row r="378" spans="1:45" x14ac:dyDescent="0.35">
      <c r="A378" s="2" t="s">
        <v>1131</v>
      </c>
      <c r="B378" s="3">
        <v>5000000</v>
      </c>
      <c r="C378" s="3">
        <v>4862690.88</v>
      </c>
      <c r="D378" s="3">
        <v>0</v>
      </c>
      <c r="E378" s="3">
        <v>4862690.88</v>
      </c>
      <c r="F378" s="3">
        <v>137309.12</v>
      </c>
      <c r="G378" s="3">
        <v>5000000</v>
      </c>
      <c r="H378" s="3">
        <v>4862690.88</v>
      </c>
      <c r="I378" s="3">
        <v>0</v>
      </c>
      <c r="J378" s="3">
        <v>4862690.88</v>
      </c>
      <c r="K378" s="3">
        <v>137309.12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5000000</v>
      </c>
      <c r="AG378" s="3">
        <v>4862690.88</v>
      </c>
      <c r="AH378" s="3">
        <v>0</v>
      </c>
      <c r="AI378" s="3">
        <v>4862690.88</v>
      </c>
      <c r="AJ378" s="3">
        <v>137309.12</v>
      </c>
      <c r="AK378" s="2" t="s">
        <v>1132</v>
      </c>
      <c r="AL378" s="2" t="s">
        <v>1133</v>
      </c>
      <c r="AM378" s="3">
        <f>VLOOKUP(AL378,Table1[],2,FALSE)</f>
        <v>0</v>
      </c>
      <c r="AN378" s="3">
        <f>VLOOKUP(AL378,Table1[],3,FALSE)</f>
        <v>0</v>
      </c>
      <c r="AO378" s="3">
        <f>VLOOKUP($AL378,Table1[],4,FALSE)</f>
        <v>0</v>
      </c>
      <c r="AP378" s="3">
        <f>VLOOKUP($AL378,Table1[],5,FALSE)</f>
        <v>0</v>
      </c>
      <c r="AQ378" s="3">
        <f>VLOOKUP($AL378,Table1[],6,FALSE)</f>
        <v>0</v>
      </c>
      <c r="AR378" s="3">
        <f>VLOOKUP($AL378,Table1[],7,FALSE)</f>
        <v>0</v>
      </c>
      <c r="AS378" s="3">
        <f>VLOOKUP($AL378,Table1[],8,FALSE)</f>
        <v>0</v>
      </c>
    </row>
    <row r="379" spans="1:45" x14ac:dyDescent="0.35">
      <c r="A379" s="2" t="s">
        <v>1134</v>
      </c>
      <c r="B379" s="3">
        <v>5000000</v>
      </c>
      <c r="C379" s="3">
        <v>0</v>
      </c>
      <c r="D379" s="3">
        <v>0</v>
      </c>
      <c r="E379" s="3">
        <v>0</v>
      </c>
      <c r="F379" s="3">
        <v>5000000</v>
      </c>
      <c r="G379" s="3">
        <v>5000000</v>
      </c>
      <c r="H379" s="3">
        <v>0</v>
      </c>
      <c r="I379" s="3">
        <v>0</v>
      </c>
      <c r="J379" s="3">
        <v>0</v>
      </c>
      <c r="K379" s="3">
        <v>5000000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5000000</v>
      </c>
      <c r="AG379" s="3">
        <v>0</v>
      </c>
      <c r="AH379" s="3">
        <v>0</v>
      </c>
      <c r="AI379" s="3">
        <v>0</v>
      </c>
      <c r="AJ379" s="3">
        <v>5000000</v>
      </c>
      <c r="AK379" s="2" t="s">
        <v>1135</v>
      </c>
      <c r="AL379" s="2" t="s">
        <v>1136</v>
      </c>
      <c r="AM379" s="3" t="e">
        <f>VLOOKUP(AL379,Table1[],2,FALSE)</f>
        <v>#N/A</v>
      </c>
      <c r="AN379" s="3" t="e">
        <f>VLOOKUP(AL379,Table1[],3,FALSE)</f>
        <v>#N/A</v>
      </c>
      <c r="AO379" s="3" t="e">
        <f>VLOOKUP($AL379,Table1[],4,FALSE)</f>
        <v>#N/A</v>
      </c>
      <c r="AP379" s="3" t="e">
        <f>VLOOKUP($AL379,Table1[],5,FALSE)</f>
        <v>#N/A</v>
      </c>
      <c r="AQ379" s="3" t="e">
        <f>VLOOKUP($AL379,Table1[],6,FALSE)</f>
        <v>#N/A</v>
      </c>
      <c r="AR379" s="3" t="e">
        <f>VLOOKUP($AL379,Table1[],7,FALSE)</f>
        <v>#N/A</v>
      </c>
      <c r="AS379" s="3" t="e">
        <f>VLOOKUP($AL379,Table1[],8,FALSE)</f>
        <v>#N/A</v>
      </c>
    </row>
    <row r="380" spans="1:45" x14ac:dyDescent="0.35">
      <c r="A380" s="2" t="s">
        <v>1137</v>
      </c>
      <c r="B380" s="3">
        <v>600000</v>
      </c>
      <c r="C380" s="3">
        <v>0</v>
      </c>
      <c r="D380" s="3">
        <v>0</v>
      </c>
      <c r="E380" s="3">
        <v>0</v>
      </c>
      <c r="F380" s="3">
        <v>600000</v>
      </c>
      <c r="G380" s="3">
        <v>600000</v>
      </c>
      <c r="H380" s="3">
        <v>0</v>
      </c>
      <c r="I380" s="3">
        <v>0</v>
      </c>
      <c r="J380" s="3">
        <v>0</v>
      </c>
      <c r="K380" s="3">
        <v>600000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600000</v>
      </c>
      <c r="AG380" s="3">
        <v>0</v>
      </c>
      <c r="AH380" s="3">
        <v>0</v>
      </c>
      <c r="AI380" s="3">
        <v>0</v>
      </c>
      <c r="AJ380" s="3">
        <v>600000</v>
      </c>
      <c r="AK380" s="2" t="s">
        <v>1138</v>
      </c>
      <c r="AL380" s="2" t="s">
        <v>1139</v>
      </c>
      <c r="AM380" s="3" t="e">
        <f>VLOOKUP(AL380,Table1[],2,FALSE)</f>
        <v>#N/A</v>
      </c>
      <c r="AN380" s="3" t="e">
        <f>VLOOKUP(AL380,Table1[],3,FALSE)</f>
        <v>#N/A</v>
      </c>
      <c r="AO380" s="3" t="e">
        <f>VLOOKUP($AL380,Table1[],4,FALSE)</f>
        <v>#N/A</v>
      </c>
      <c r="AP380" s="3" t="e">
        <f>VLOOKUP($AL380,Table1[],5,FALSE)</f>
        <v>#N/A</v>
      </c>
      <c r="AQ380" s="3" t="e">
        <f>VLOOKUP($AL380,Table1[],6,FALSE)</f>
        <v>#N/A</v>
      </c>
      <c r="AR380" s="3" t="e">
        <f>VLOOKUP($AL380,Table1[],7,FALSE)</f>
        <v>#N/A</v>
      </c>
      <c r="AS380" s="3" t="e">
        <f>VLOOKUP($AL380,Table1[],8,FALSE)</f>
        <v>#N/A</v>
      </c>
    </row>
    <row r="381" spans="1:45" x14ac:dyDescent="0.35">
      <c r="A381" s="2" t="s">
        <v>1140</v>
      </c>
      <c r="B381" s="3">
        <v>1500000</v>
      </c>
      <c r="C381" s="3">
        <v>1500000</v>
      </c>
      <c r="D381" s="3">
        <v>0</v>
      </c>
      <c r="E381" s="3">
        <v>1500000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1500000</v>
      </c>
      <c r="M381" s="3">
        <v>1500000</v>
      </c>
      <c r="N381" s="3">
        <v>0</v>
      </c>
      <c r="O381" s="3">
        <v>1500000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1500000</v>
      </c>
      <c r="AG381" s="3">
        <v>1500000</v>
      </c>
      <c r="AH381" s="3">
        <v>0</v>
      </c>
      <c r="AI381" s="3">
        <v>1500000</v>
      </c>
      <c r="AJ381" s="3">
        <v>0</v>
      </c>
      <c r="AK381" s="2" t="s">
        <v>1141</v>
      </c>
      <c r="AL381" s="2" t="s">
        <v>1142</v>
      </c>
      <c r="AM381" s="3">
        <f>VLOOKUP(AL381,Table1[],2,FALSE)</f>
        <v>0</v>
      </c>
      <c r="AN381" s="3">
        <f>VLOOKUP(AL381,Table1[],3,FALSE)</f>
        <v>0</v>
      </c>
      <c r="AO381" s="3">
        <f>VLOOKUP($AL381,Table1[],4,FALSE)</f>
        <v>0</v>
      </c>
      <c r="AP381" s="3">
        <f>VLOOKUP($AL381,Table1[],5,FALSE)</f>
        <v>0</v>
      </c>
      <c r="AQ381" s="3">
        <f>VLOOKUP($AL381,Table1[],6,FALSE)</f>
        <v>0</v>
      </c>
      <c r="AR381" s="3">
        <f>VLOOKUP($AL381,Table1[],7,FALSE)</f>
        <v>0</v>
      </c>
      <c r="AS381" s="3">
        <f>VLOOKUP($AL381,Table1[],8,FALSE)</f>
        <v>0</v>
      </c>
    </row>
    <row r="382" spans="1:45" x14ac:dyDescent="0.35">
      <c r="A382" s="2" t="s">
        <v>1143</v>
      </c>
      <c r="B382" s="3">
        <v>5000000</v>
      </c>
      <c r="C382" s="3">
        <v>4148296.51</v>
      </c>
      <c r="D382" s="3">
        <v>811521.88</v>
      </c>
      <c r="E382" s="3">
        <v>4959818.3899999997</v>
      </c>
      <c r="F382" s="3">
        <v>40181.61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5000000</v>
      </c>
      <c r="M382" s="3">
        <v>4148296.51</v>
      </c>
      <c r="N382" s="3">
        <v>811521.88</v>
      </c>
      <c r="O382" s="3">
        <v>4959818.3899999997</v>
      </c>
      <c r="P382" s="3">
        <v>40181.61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5000000</v>
      </c>
      <c r="AG382" s="3">
        <v>4148296.51</v>
      </c>
      <c r="AH382" s="3">
        <v>811521.88</v>
      </c>
      <c r="AI382" s="3">
        <v>4959818.3899999997</v>
      </c>
      <c r="AJ382" s="3">
        <v>40181.61</v>
      </c>
      <c r="AK382" s="2" t="s">
        <v>1144</v>
      </c>
      <c r="AL382" s="2" t="s">
        <v>1145</v>
      </c>
      <c r="AM382" s="3">
        <f>VLOOKUP(AL382,Table1[],2,FALSE)</f>
        <v>0</v>
      </c>
      <c r="AN382" s="3">
        <f>VLOOKUP(AL382,Table1[],3,FALSE)</f>
        <v>0</v>
      </c>
      <c r="AO382" s="3">
        <f>VLOOKUP($AL382,Table1[],4,FALSE)</f>
        <v>0</v>
      </c>
      <c r="AP382" s="3">
        <f>VLOOKUP($AL382,Table1[],5,FALSE)</f>
        <v>0</v>
      </c>
      <c r="AQ382" s="3">
        <f>VLOOKUP($AL382,Table1[],6,FALSE)</f>
        <v>0</v>
      </c>
      <c r="AR382" s="3">
        <f>VLOOKUP($AL382,Table1[],7,FALSE)</f>
        <v>0</v>
      </c>
      <c r="AS382" s="3">
        <f>VLOOKUP($AL382,Table1[],8,FALSE)</f>
        <v>0</v>
      </c>
    </row>
    <row r="383" spans="1:45" x14ac:dyDescent="0.35">
      <c r="A383" s="2" t="s">
        <v>1146</v>
      </c>
      <c r="B383" s="3">
        <v>200000</v>
      </c>
      <c r="C383" s="3">
        <v>200000</v>
      </c>
      <c r="D383" s="3">
        <v>0</v>
      </c>
      <c r="E383" s="3">
        <v>200000</v>
      </c>
      <c r="F383" s="3">
        <v>0</v>
      </c>
      <c r="G383" s="3">
        <v>200000</v>
      </c>
      <c r="H383" s="3">
        <v>200000</v>
      </c>
      <c r="I383" s="3">
        <v>0</v>
      </c>
      <c r="J383" s="3">
        <v>200000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200000</v>
      </c>
      <c r="AG383" s="3">
        <v>200000</v>
      </c>
      <c r="AH383" s="3">
        <v>0</v>
      </c>
      <c r="AI383" s="3">
        <v>200000</v>
      </c>
      <c r="AJ383" s="3">
        <v>0</v>
      </c>
      <c r="AK383" s="2" t="s">
        <v>1147</v>
      </c>
      <c r="AL383" s="2" t="s">
        <v>1148</v>
      </c>
      <c r="AM383" s="3">
        <f>VLOOKUP(AL383,Table1[],2,FALSE)</f>
        <v>0</v>
      </c>
      <c r="AN383" s="3">
        <f>VLOOKUP(AL383,Table1[],3,FALSE)</f>
        <v>0</v>
      </c>
      <c r="AO383" s="3">
        <f>VLOOKUP($AL383,Table1[],4,FALSE)</f>
        <v>0</v>
      </c>
      <c r="AP383" s="3">
        <f>VLOOKUP($AL383,Table1[],5,FALSE)</f>
        <v>0</v>
      </c>
      <c r="AQ383" s="3">
        <f>VLOOKUP($AL383,Table1[],6,FALSE)</f>
        <v>0</v>
      </c>
      <c r="AR383" s="3">
        <f>VLOOKUP($AL383,Table1[],7,FALSE)</f>
        <v>0</v>
      </c>
      <c r="AS383" s="3">
        <f>VLOOKUP($AL383,Table1[],8,FALSE)</f>
        <v>0</v>
      </c>
    </row>
    <row r="384" spans="1:45" x14ac:dyDescent="0.35">
      <c r="A384" s="2" t="s">
        <v>1149</v>
      </c>
      <c r="B384" s="3">
        <v>500000</v>
      </c>
      <c r="C384" s="3">
        <v>500000</v>
      </c>
      <c r="D384" s="3">
        <v>0</v>
      </c>
      <c r="E384" s="3">
        <v>500000</v>
      </c>
      <c r="F384" s="3">
        <v>0</v>
      </c>
      <c r="G384" s="3">
        <v>500000</v>
      </c>
      <c r="H384" s="3">
        <v>500000</v>
      </c>
      <c r="I384" s="3">
        <v>0</v>
      </c>
      <c r="J384" s="3">
        <v>500000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500000</v>
      </c>
      <c r="AG384" s="3">
        <v>500000</v>
      </c>
      <c r="AH384" s="3">
        <v>0</v>
      </c>
      <c r="AI384" s="3">
        <v>500000</v>
      </c>
      <c r="AJ384" s="3">
        <v>0</v>
      </c>
      <c r="AK384" s="2" t="s">
        <v>1150</v>
      </c>
      <c r="AL384" s="2" t="s">
        <v>1151</v>
      </c>
      <c r="AM384" s="3">
        <f>VLOOKUP(AL384,Table1[],2,FALSE)</f>
        <v>0</v>
      </c>
      <c r="AN384" s="3">
        <f>VLOOKUP(AL384,Table1[],3,FALSE)</f>
        <v>0</v>
      </c>
      <c r="AO384" s="3">
        <f>VLOOKUP($AL384,Table1[],4,FALSE)</f>
        <v>0</v>
      </c>
      <c r="AP384" s="3">
        <f>VLOOKUP($AL384,Table1[],5,FALSE)</f>
        <v>0</v>
      </c>
      <c r="AQ384" s="3">
        <f>VLOOKUP($AL384,Table1[],6,FALSE)</f>
        <v>0</v>
      </c>
      <c r="AR384" s="3">
        <f>VLOOKUP($AL384,Table1[],7,FALSE)</f>
        <v>0</v>
      </c>
      <c r="AS384" s="3">
        <f>VLOOKUP($AL384,Table1[],8,FALSE)</f>
        <v>0</v>
      </c>
    </row>
    <row r="385" spans="1:45" x14ac:dyDescent="0.35">
      <c r="A385" s="2" t="s">
        <v>1152</v>
      </c>
      <c r="B385" s="3">
        <v>1500000</v>
      </c>
      <c r="C385" s="3">
        <v>869922.97</v>
      </c>
      <c r="D385" s="3">
        <v>0</v>
      </c>
      <c r="E385" s="3">
        <v>869922.97</v>
      </c>
      <c r="F385" s="3">
        <v>630077.03</v>
      </c>
      <c r="G385" s="3">
        <v>1500000</v>
      </c>
      <c r="H385" s="3">
        <v>869922.97</v>
      </c>
      <c r="I385" s="3">
        <v>0</v>
      </c>
      <c r="J385" s="3">
        <v>869922.97</v>
      </c>
      <c r="K385" s="3">
        <v>630077.03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1500000</v>
      </c>
      <c r="AG385" s="3">
        <v>869922.97</v>
      </c>
      <c r="AH385" s="3">
        <v>0</v>
      </c>
      <c r="AI385" s="3">
        <v>869922.97</v>
      </c>
      <c r="AJ385" s="3">
        <v>630077.03</v>
      </c>
      <c r="AK385" s="2" t="s">
        <v>1153</v>
      </c>
      <c r="AL385" s="2" t="s">
        <v>1154</v>
      </c>
      <c r="AM385" s="3">
        <f>VLOOKUP(AL385,Table1[],2,FALSE)</f>
        <v>0</v>
      </c>
      <c r="AN385" s="3">
        <f>VLOOKUP(AL385,Table1[],3,FALSE)</f>
        <v>0</v>
      </c>
      <c r="AO385" s="3">
        <f>VLOOKUP($AL385,Table1[],4,FALSE)</f>
        <v>0</v>
      </c>
      <c r="AP385" s="3">
        <f>VLOOKUP($AL385,Table1[],5,FALSE)</f>
        <v>0</v>
      </c>
      <c r="AQ385" s="3">
        <f>VLOOKUP($AL385,Table1[],6,FALSE)</f>
        <v>0</v>
      </c>
      <c r="AR385" s="3">
        <f>VLOOKUP($AL385,Table1[],7,FALSE)</f>
        <v>0</v>
      </c>
      <c r="AS385" s="3">
        <f>VLOOKUP($AL385,Table1[],8,FALSE)</f>
        <v>0</v>
      </c>
    </row>
    <row r="386" spans="1:45" x14ac:dyDescent="0.35">
      <c r="A386" s="2" t="s">
        <v>1155</v>
      </c>
      <c r="B386" s="3">
        <v>1500000</v>
      </c>
      <c r="C386" s="3">
        <v>1491674.29</v>
      </c>
      <c r="D386" s="3">
        <v>8185.66</v>
      </c>
      <c r="E386" s="3">
        <v>1499859.95</v>
      </c>
      <c r="F386" s="3">
        <v>140.05000000000001</v>
      </c>
      <c r="G386" s="3">
        <v>1500000</v>
      </c>
      <c r="H386" s="3">
        <v>1491674.29</v>
      </c>
      <c r="I386" s="3">
        <v>8185.66</v>
      </c>
      <c r="J386" s="3">
        <v>1499859.95</v>
      </c>
      <c r="K386" s="3">
        <v>140.05000000000001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1500000</v>
      </c>
      <c r="AG386" s="3">
        <v>1491674.29</v>
      </c>
      <c r="AH386" s="3">
        <v>8185.66</v>
      </c>
      <c r="AI386" s="3">
        <v>1499859.95</v>
      </c>
      <c r="AJ386" s="3">
        <v>140.05000000000001</v>
      </c>
      <c r="AK386" s="2" t="s">
        <v>1156</v>
      </c>
      <c r="AL386" s="2" t="s">
        <v>1157</v>
      </c>
      <c r="AM386" s="3">
        <f>VLOOKUP(AL386,Table1[],2,FALSE)</f>
        <v>0</v>
      </c>
      <c r="AN386" s="3">
        <f>VLOOKUP(AL386,Table1[],3,FALSE)</f>
        <v>0</v>
      </c>
      <c r="AO386" s="3">
        <f>VLOOKUP($AL386,Table1[],4,FALSE)</f>
        <v>0</v>
      </c>
      <c r="AP386" s="3">
        <f>VLOOKUP($AL386,Table1[],5,FALSE)</f>
        <v>0</v>
      </c>
      <c r="AQ386" s="3">
        <f>VLOOKUP($AL386,Table1[],6,FALSE)</f>
        <v>0</v>
      </c>
      <c r="AR386" s="3">
        <f>VLOOKUP($AL386,Table1[],7,FALSE)</f>
        <v>0</v>
      </c>
      <c r="AS386" s="3">
        <f>VLOOKUP($AL386,Table1[],8,FALSE)</f>
        <v>0</v>
      </c>
    </row>
    <row r="387" spans="1:45" x14ac:dyDescent="0.35">
      <c r="A387" s="2" t="s">
        <v>1158</v>
      </c>
      <c r="B387" s="3">
        <v>2300000</v>
      </c>
      <c r="C387" s="3">
        <v>0</v>
      </c>
      <c r="D387" s="3">
        <v>0</v>
      </c>
      <c r="E387" s="3">
        <v>0</v>
      </c>
      <c r="F387" s="3">
        <v>2300000</v>
      </c>
      <c r="G387" s="3">
        <v>2300000</v>
      </c>
      <c r="H387" s="3">
        <v>0</v>
      </c>
      <c r="I387" s="3">
        <v>0</v>
      </c>
      <c r="J387" s="3">
        <v>0</v>
      </c>
      <c r="K387" s="3">
        <v>2300000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2300000</v>
      </c>
      <c r="AG387" s="3">
        <v>0</v>
      </c>
      <c r="AH387" s="3">
        <v>0</v>
      </c>
      <c r="AI387" s="3">
        <v>0</v>
      </c>
      <c r="AJ387" s="3">
        <v>2300000</v>
      </c>
      <c r="AK387" s="2" t="s">
        <v>1159</v>
      </c>
      <c r="AL387" s="2" t="s">
        <v>1160</v>
      </c>
      <c r="AM387" s="3" t="e">
        <f>VLOOKUP(AL387,Table1[],2,FALSE)</f>
        <v>#N/A</v>
      </c>
      <c r="AN387" s="3" t="e">
        <f>VLOOKUP(AL387,Table1[],3,FALSE)</f>
        <v>#N/A</v>
      </c>
      <c r="AO387" s="3" t="e">
        <f>VLOOKUP($AL387,Table1[],4,FALSE)</f>
        <v>#N/A</v>
      </c>
      <c r="AP387" s="3" t="e">
        <f>VLOOKUP($AL387,Table1[],5,FALSE)</f>
        <v>#N/A</v>
      </c>
      <c r="AQ387" s="3" t="e">
        <f>VLOOKUP($AL387,Table1[],6,FALSE)</f>
        <v>#N/A</v>
      </c>
      <c r="AR387" s="3" t="e">
        <f>VLOOKUP($AL387,Table1[],7,FALSE)</f>
        <v>#N/A</v>
      </c>
      <c r="AS387" s="3" t="e">
        <f>VLOOKUP($AL387,Table1[],8,FALSE)</f>
        <v>#N/A</v>
      </c>
    </row>
    <row r="388" spans="1:45" x14ac:dyDescent="0.35">
      <c r="A388" s="2" t="s">
        <v>1161</v>
      </c>
      <c r="B388" s="3">
        <v>2000000</v>
      </c>
      <c r="C388" s="3">
        <v>0</v>
      </c>
      <c r="D388" s="3">
        <v>1583196.95</v>
      </c>
      <c r="E388" s="3">
        <v>1583196.95</v>
      </c>
      <c r="F388" s="3">
        <v>416803.05</v>
      </c>
      <c r="G388" s="3">
        <v>2000000</v>
      </c>
      <c r="H388" s="3">
        <v>0</v>
      </c>
      <c r="I388" s="3">
        <v>1583196.95</v>
      </c>
      <c r="J388" s="3">
        <v>1583196.95</v>
      </c>
      <c r="K388" s="3">
        <v>416803.05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2000000</v>
      </c>
      <c r="AG388" s="3">
        <v>0</v>
      </c>
      <c r="AH388" s="3">
        <v>1583196.95</v>
      </c>
      <c r="AI388" s="3">
        <v>1583196.95</v>
      </c>
      <c r="AJ388" s="3">
        <v>416803.05</v>
      </c>
      <c r="AK388" s="2" t="s">
        <v>1162</v>
      </c>
      <c r="AL388" s="2" t="s">
        <v>1163</v>
      </c>
      <c r="AM388" s="3" t="e">
        <f>VLOOKUP(AL388,Table1[],2,FALSE)</f>
        <v>#N/A</v>
      </c>
      <c r="AN388" s="3" t="e">
        <f>VLOOKUP(AL388,Table1[],3,FALSE)</f>
        <v>#N/A</v>
      </c>
      <c r="AO388" s="3" t="e">
        <f>VLOOKUP($AL388,Table1[],4,FALSE)</f>
        <v>#N/A</v>
      </c>
      <c r="AP388" s="3" t="e">
        <f>VLOOKUP($AL388,Table1[],5,FALSE)</f>
        <v>#N/A</v>
      </c>
      <c r="AQ388" s="3" t="e">
        <f>VLOOKUP($AL388,Table1[],6,FALSE)</f>
        <v>#N/A</v>
      </c>
      <c r="AR388" s="3" t="e">
        <f>VLOOKUP($AL388,Table1[],7,FALSE)</f>
        <v>#N/A</v>
      </c>
      <c r="AS388" s="3" t="e">
        <f>VLOOKUP($AL388,Table1[],8,FALSE)</f>
        <v>#N/A</v>
      </c>
    </row>
    <row r="389" spans="1:45" x14ac:dyDescent="0.35">
      <c r="A389" s="2" t="s">
        <v>1164</v>
      </c>
      <c r="B389" s="3">
        <v>200000</v>
      </c>
      <c r="C389" s="3">
        <v>0</v>
      </c>
      <c r="D389" s="3">
        <v>0</v>
      </c>
      <c r="E389" s="3">
        <v>0</v>
      </c>
      <c r="F389" s="3">
        <v>200000</v>
      </c>
      <c r="G389" s="3">
        <v>200000</v>
      </c>
      <c r="H389" s="3">
        <v>0</v>
      </c>
      <c r="I389" s="3">
        <v>0</v>
      </c>
      <c r="J389" s="3">
        <v>0</v>
      </c>
      <c r="K389" s="3">
        <v>200000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200000</v>
      </c>
      <c r="AG389" s="3">
        <v>0</v>
      </c>
      <c r="AH389" s="3">
        <v>0</v>
      </c>
      <c r="AI389" s="3">
        <v>0</v>
      </c>
      <c r="AJ389" s="3">
        <v>200000</v>
      </c>
      <c r="AK389" s="2" t="s">
        <v>1165</v>
      </c>
      <c r="AL389" s="2" t="s">
        <v>1166</v>
      </c>
      <c r="AM389" s="3" t="e">
        <f>VLOOKUP(AL389,Table1[],2,FALSE)</f>
        <v>#N/A</v>
      </c>
      <c r="AN389" s="3" t="e">
        <f>VLOOKUP(AL389,Table1[],3,FALSE)</f>
        <v>#N/A</v>
      </c>
      <c r="AO389" s="3" t="e">
        <f>VLOOKUP($AL389,Table1[],4,FALSE)</f>
        <v>#N/A</v>
      </c>
      <c r="AP389" s="3" t="e">
        <f>VLOOKUP($AL389,Table1[],5,FALSE)</f>
        <v>#N/A</v>
      </c>
      <c r="AQ389" s="3" t="e">
        <f>VLOOKUP($AL389,Table1[],6,FALSE)</f>
        <v>#N/A</v>
      </c>
      <c r="AR389" s="3" t="e">
        <f>VLOOKUP($AL389,Table1[],7,FALSE)</f>
        <v>#N/A</v>
      </c>
      <c r="AS389" s="3" t="e">
        <f>VLOOKUP($AL389,Table1[],8,FALSE)</f>
        <v>#N/A</v>
      </c>
    </row>
    <row r="390" spans="1:45" x14ac:dyDescent="0.35">
      <c r="A390" s="2" t="s">
        <v>1167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2" t="s">
        <v>1168</v>
      </c>
      <c r="AL390" s="2" t="s">
        <v>1169</v>
      </c>
      <c r="AM390" s="3" t="e">
        <f>VLOOKUP(AL390,Table1[],2,FALSE)</f>
        <v>#N/A</v>
      </c>
      <c r="AN390" s="3" t="e">
        <f>VLOOKUP(AL390,Table1[],3,FALSE)</f>
        <v>#N/A</v>
      </c>
      <c r="AO390" s="3" t="e">
        <f>VLOOKUP($AL390,Table1[],4,FALSE)</f>
        <v>#N/A</v>
      </c>
      <c r="AP390" s="3" t="e">
        <f>VLOOKUP($AL390,Table1[],5,FALSE)</f>
        <v>#N/A</v>
      </c>
      <c r="AQ390" s="3" t="e">
        <f>VLOOKUP($AL390,Table1[],6,FALSE)</f>
        <v>#N/A</v>
      </c>
      <c r="AR390" s="3" t="e">
        <f>VLOOKUP($AL390,Table1[],7,FALSE)</f>
        <v>#N/A</v>
      </c>
      <c r="AS390" s="3" t="e">
        <f>VLOOKUP($AL390,Table1[],8,FALSE)</f>
        <v>#N/A</v>
      </c>
    </row>
    <row r="391" spans="1:45" x14ac:dyDescent="0.35">
      <c r="A391" s="2" t="s">
        <v>1170</v>
      </c>
      <c r="B391" s="3">
        <v>91000000</v>
      </c>
      <c r="C391" s="3">
        <v>90989393</v>
      </c>
      <c r="D391" s="3">
        <v>0</v>
      </c>
      <c r="E391" s="3">
        <v>90989393</v>
      </c>
      <c r="F391" s="3">
        <v>10607</v>
      </c>
      <c r="G391" s="3">
        <v>81900000</v>
      </c>
      <c r="H391" s="3">
        <v>81900000</v>
      </c>
      <c r="I391" s="3">
        <v>0</v>
      </c>
      <c r="J391" s="3">
        <v>81900000</v>
      </c>
      <c r="K391" s="3">
        <v>0</v>
      </c>
      <c r="L391" s="3">
        <v>9100000</v>
      </c>
      <c r="M391" s="3">
        <v>9089393</v>
      </c>
      <c r="N391" s="3">
        <v>0</v>
      </c>
      <c r="O391" s="3">
        <v>9089393</v>
      </c>
      <c r="P391" s="3">
        <v>10607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91000000</v>
      </c>
      <c r="AG391" s="3">
        <v>90989393</v>
      </c>
      <c r="AH391" s="3">
        <v>0</v>
      </c>
      <c r="AI391" s="3">
        <v>90989393</v>
      </c>
      <c r="AJ391" s="3">
        <v>10607</v>
      </c>
      <c r="AK391" s="2" t="s">
        <v>1171</v>
      </c>
      <c r="AL391" s="2" t="s">
        <v>1172</v>
      </c>
      <c r="AM391" s="3">
        <f>VLOOKUP(AL391,Table1[],2,FALSE)</f>
        <v>0</v>
      </c>
      <c r="AN391" s="3">
        <f>VLOOKUP(AL391,Table1[],3,FALSE)</f>
        <v>0</v>
      </c>
      <c r="AO391" s="3">
        <f>VLOOKUP($AL391,Table1[],4,FALSE)</f>
        <v>0</v>
      </c>
      <c r="AP391" s="3">
        <f>VLOOKUP($AL391,Table1[],5,FALSE)</f>
        <v>0</v>
      </c>
      <c r="AQ391" s="3">
        <f>VLOOKUP($AL391,Table1[],6,FALSE)</f>
        <v>0</v>
      </c>
      <c r="AR391" s="3">
        <f>VLOOKUP($AL391,Table1[],7,FALSE)</f>
        <v>0</v>
      </c>
      <c r="AS391" s="3">
        <f>VLOOKUP($AL391,Table1[],8,FALSE)</f>
        <v>0</v>
      </c>
    </row>
    <row r="392" spans="1:45" x14ac:dyDescent="0.35">
      <c r="A392" s="2" t="s">
        <v>1173</v>
      </c>
      <c r="B392" s="3">
        <v>93000000</v>
      </c>
      <c r="C392" s="3">
        <v>93000000</v>
      </c>
      <c r="D392" s="3">
        <v>0</v>
      </c>
      <c r="E392" s="3">
        <v>93000000</v>
      </c>
      <c r="F392" s="3">
        <v>0</v>
      </c>
      <c r="G392" s="3">
        <v>83700000</v>
      </c>
      <c r="H392" s="3">
        <v>83700000</v>
      </c>
      <c r="I392" s="3">
        <v>0</v>
      </c>
      <c r="J392" s="3">
        <v>83700000</v>
      </c>
      <c r="K392" s="3">
        <v>0</v>
      </c>
      <c r="L392" s="3">
        <v>9300000</v>
      </c>
      <c r="M392" s="3">
        <v>9300000</v>
      </c>
      <c r="N392" s="3">
        <v>0</v>
      </c>
      <c r="O392" s="3">
        <v>9300000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93000000</v>
      </c>
      <c r="AG392" s="3">
        <v>93000000</v>
      </c>
      <c r="AH392" s="3">
        <v>0</v>
      </c>
      <c r="AI392" s="3">
        <v>93000000</v>
      </c>
      <c r="AJ392" s="3">
        <v>0</v>
      </c>
      <c r="AK392" s="2" t="s">
        <v>1174</v>
      </c>
      <c r="AL392" s="2" t="s">
        <v>1175</v>
      </c>
      <c r="AM392" s="3">
        <f>VLOOKUP(AL392,Table1[],2,FALSE)</f>
        <v>0</v>
      </c>
      <c r="AN392" s="3">
        <f>VLOOKUP(AL392,Table1[],3,FALSE)</f>
        <v>0</v>
      </c>
      <c r="AO392" s="3">
        <f>VLOOKUP($AL392,Table1[],4,FALSE)</f>
        <v>0</v>
      </c>
      <c r="AP392" s="3">
        <f>VLOOKUP($AL392,Table1[],5,FALSE)</f>
        <v>0</v>
      </c>
      <c r="AQ392" s="3">
        <f>VLOOKUP($AL392,Table1[],6,FALSE)</f>
        <v>0</v>
      </c>
      <c r="AR392" s="3">
        <f>VLOOKUP($AL392,Table1[],7,FALSE)</f>
        <v>0</v>
      </c>
      <c r="AS392" s="3">
        <f>VLOOKUP($AL392,Table1[],8,FALSE)</f>
        <v>0</v>
      </c>
    </row>
    <row r="393" spans="1:45" x14ac:dyDescent="0.35">
      <c r="A393" s="2" t="s">
        <v>1176</v>
      </c>
      <c r="B393" s="3">
        <v>5000000</v>
      </c>
      <c r="C393" s="3">
        <v>4897722.09</v>
      </c>
      <c r="D393" s="3">
        <v>507547.04</v>
      </c>
      <c r="E393" s="3">
        <v>5405269.1299999999</v>
      </c>
      <c r="F393" s="3">
        <v>-405269.13</v>
      </c>
      <c r="G393" s="3">
        <v>0</v>
      </c>
      <c r="H393" s="3">
        <v>0</v>
      </c>
      <c r="I393" s="3">
        <v>507547.04</v>
      </c>
      <c r="J393" s="3">
        <v>507547.04</v>
      </c>
      <c r="K393" s="3">
        <v>-507547.04</v>
      </c>
      <c r="L393" s="3">
        <v>5000000</v>
      </c>
      <c r="M393" s="3">
        <v>4897722.09</v>
      </c>
      <c r="N393" s="3">
        <v>0</v>
      </c>
      <c r="O393" s="3">
        <v>4897722.09</v>
      </c>
      <c r="P393" s="3">
        <v>102277.91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5000000</v>
      </c>
      <c r="AG393" s="3">
        <v>4897722.09</v>
      </c>
      <c r="AH393" s="3">
        <v>507547.04</v>
      </c>
      <c r="AI393" s="3">
        <v>5405269.1299999999</v>
      </c>
      <c r="AJ393" s="3">
        <v>-405269.13</v>
      </c>
      <c r="AK393" s="2" t="s">
        <v>1177</v>
      </c>
      <c r="AL393" s="2" t="s">
        <v>1178</v>
      </c>
      <c r="AM393" s="3">
        <f>VLOOKUP(AL393,Table1[],2,FALSE)</f>
        <v>0</v>
      </c>
      <c r="AN393" s="3">
        <f>VLOOKUP(AL393,Table1[],3,FALSE)</f>
        <v>0</v>
      </c>
      <c r="AO393" s="3">
        <f>VLOOKUP($AL393,Table1[],4,FALSE)</f>
        <v>0</v>
      </c>
      <c r="AP393" s="3">
        <f>VLOOKUP($AL393,Table1[],5,FALSE)</f>
        <v>0</v>
      </c>
      <c r="AQ393" s="3">
        <f>VLOOKUP($AL393,Table1[],6,FALSE)</f>
        <v>0</v>
      </c>
      <c r="AR393" s="3">
        <f>VLOOKUP($AL393,Table1[],7,FALSE)</f>
        <v>0</v>
      </c>
      <c r="AS393" s="3">
        <f>VLOOKUP($AL393,Table1[],8,FALSE)</f>
        <v>0</v>
      </c>
    </row>
    <row r="394" spans="1:45" x14ac:dyDescent="0.35">
      <c r="A394" s="2" t="s">
        <v>1179</v>
      </c>
      <c r="B394" s="3">
        <v>5000000</v>
      </c>
      <c r="C394" s="3">
        <v>0</v>
      </c>
      <c r="D394" s="3">
        <v>0</v>
      </c>
      <c r="E394" s="3">
        <v>0</v>
      </c>
      <c r="F394" s="3">
        <v>5000000</v>
      </c>
      <c r="G394" s="3">
        <v>5000000</v>
      </c>
      <c r="H394" s="3">
        <v>0</v>
      </c>
      <c r="I394" s="3">
        <v>0</v>
      </c>
      <c r="J394" s="3">
        <v>0</v>
      </c>
      <c r="K394" s="3">
        <v>5000000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5000000</v>
      </c>
      <c r="AG394" s="3">
        <v>0</v>
      </c>
      <c r="AH394" s="3">
        <v>0</v>
      </c>
      <c r="AI394" s="3">
        <v>0</v>
      </c>
      <c r="AJ394" s="3">
        <v>5000000</v>
      </c>
      <c r="AK394" s="2" t="s">
        <v>1180</v>
      </c>
      <c r="AL394" s="2" t="s">
        <v>1181</v>
      </c>
      <c r="AM394" s="3" t="e">
        <f>VLOOKUP(AL394,Table1[],2,FALSE)</f>
        <v>#N/A</v>
      </c>
      <c r="AN394" s="3" t="e">
        <f>VLOOKUP(AL394,Table1[],3,FALSE)</f>
        <v>#N/A</v>
      </c>
      <c r="AO394" s="3" t="e">
        <f>VLOOKUP($AL394,Table1[],4,FALSE)</f>
        <v>#N/A</v>
      </c>
      <c r="AP394" s="3" t="e">
        <f>VLOOKUP($AL394,Table1[],5,FALSE)</f>
        <v>#N/A</v>
      </c>
      <c r="AQ394" s="3" t="e">
        <f>VLOOKUP($AL394,Table1[],6,FALSE)</f>
        <v>#N/A</v>
      </c>
      <c r="AR394" s="3" t="e">
        <f>VLOOKUP($AL394,Table1[],7,FALSE)</f>
        <v>#N/A</v>
      </c>
      <c r="AS394" s="3" t="e">
        <f>VLOOKUP($AL394,Table1[],8,FALSE)</f>
        <v>#N/A</v>
      </c>
    </row>
    <row r="395" spans="1:45" x14ac:dyDescent="0.35">
      <c r="A395" s="2" t="s">
        <v>1182</v>
      </c>
      <c r="B395" s="3">
        <v>969881000</v>
      </c>
      <c r="C395" s="3">
        <v>224687222.16999999</v>
      </c>
      <c r="D395" s="3">
        <v>342608538.39999998</v>
      </c>
      <c r="E395" s="3">
        <v>567295760.57000005</v>
      </c>
      <c r="F395" s="3">
        <v>402585239.43000001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969881000</v>
      </c>
      <c r="M395" s="3">
        <v>224687222.16999999</v>
      </c>
      <c r="N395" s="3">
        <v>342608538.39999998</v>
      </c>
      <c r="O395" s="3">
        <v>567295760.57000005</v>
      </c>
      <c r="P395" s="3">
        <v>402585239.43000001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969881000</v>
      </c>
      <c r="AG395" s="3">
        <v>224687222.16999999</v>
      </c>
      <c r="AH395" s="3">
        <v>342608538.39999998</v>
      </c>
      <c r="AI395" s="3">
        <v>567295760.57000005</v>
      </c>
      <c r="AJ395" s="3">
        <v>402585239.43000001</v>
      </c>
      <c r="AK395" s="2" t="s">
        <v>1183</v>
      </c>
      <c r="AL395" s="2" t="s">
        <v>1184</v>
      </c>
      <c r="AM395" s="3">
        <f>VLOOKUP(AL395,Table1[],2,FALSE)</f>
        <v>0</v>
      </c>
      <c r="AN395" s="3">
        <f>VLOOKUP(AL395,Table1[],3,FALSE)</f>
        <v>0</v>
      </c>
      <c r="AO395" s="3">
        <f>VLOOKUP($AL395,Table1[],4,FALSE)</f>
        <v>0</v>
      </c>
      <c r="AP395" s="3">
        <f>VLOOKUP($AL395,Table1[],5,FALSE)</f>
        <v>0</v>
      </c>
      <c r="AQ395" s="3">
        <f>VLOOKUP($AL395,Table1[],6,FALSE)</f>
        <v>0</v>
      </c>
      <c r="AR395" s="3">
        <f>VLOOKUP($AL395,Table1[],7,FALSE)</f>
        <v>0</v>
      </c>
      <c r="AS395" s="3">
        <f>VLOOKUP($AL395,Table1[],8,FALSE)</f>
        <v>0</v>
      </c>
    </row>
    <row r="396" spans="1:45" x14ac:dyDescent="0.35">
      <c r="A396" s="2" t="s">
        <v>1185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2" t="s">
        <v>1186</v>
      </c>
      <c r="AL396" s="2" t="s">
        <v>1187</v>
      </c>
      <c r="AM396" s="3" t="e">
        <f>VLOOKUP(AL396,Table1[],2,FALSE)</f>
        <v>#N/A</v>
      </c>
      <c r="AN396" s="3" t="e">
        <f>VLOOKUP(AL396,Table1[],3,FALSE)</f>
        <v>#N/A</v>
      </c>
      <c r="AO396" s="3" t="e">
        <f>VLOOKUP($AL396,Table1[],4,FALSE)</f>
        <v>#N/A</v>
      </c>
      <c r="AP396" s="3" t="e">
        <f>VLOOKUP($AL396,Table1[],5,FALSE)</f>
        <v>#N/A</v>
      </c>
      <c r="AQ396" s="3" t="e">
        <f>VLOOKUP($AL396,Table1[],6,FALSE)</f>
        <v>#N/A</v>
      </c>
      <c r="AR396" s="3" t="e">
        <f>VLOOKUP($AL396,Table1[],7,FALSE)</f>
        <v>#N/A</v>
      </c>
      <c r="AS396" s="3" t="e">
        <f>VLOOKUP($AL396,Table1[],8,FALSE)</f>
        <v>#N/A</v>
      </c>
    </row>
    <row r="397" spans="1:45" x14ac:dyDescent="0.35">
      <c r="A397" s="2" t="s">
        <v>1188</v>
      </c>
      <c r="B397" s="3">
        <v>12740900000</v>
      </c>
      <c r="C397" s="3">
        <v>1303679061.74</v>
      </c>
      <c r="D397" s="3">
        <v>1924023689.77</v>
      </c>
      <c r="E397" s="3">
        <v>3227702751.5100002</v>
      </c>
      <c r="F397" s="3">
        <v>9513197248.4899998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12740900000</v>
      </c>
      <c r="M397" s="3">
        <v>1303679061.74</v>
      </c>
      <c r="N397" s="3">
        <v>773925281.00999999</v>
      </c>
      <c r="O397" s="3">
        <v>2077604342.75</v>
      </c>
      <c r="P397" s="3">
        <v>10663295657.25</v>
      </c>
      <c r="Q397" s="3">
        <v>0</v>
      </c>
      <c r="R397" s="3">
        <v>0</v>
      </c>
      <c r="S397" s="3">
        <v>1150098408.76</v>
      </c>
      <c r="T397" s="3">
        <v>1150098408.76</v>
      </c>
      <c r="U397" s="3">
        <v>-1150098408.76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12740900000</v>
      </c>
      <c r="AG397" s="3">
        <v>1303679061.74</v>
      </c>
      <c r="AH397" s="3">
        <v>1924023689.77</v>
      </c>
      <c r="AI397" s="3">
        <v>3227702751.5100002</v>
      </c>
      <c r="AJ397" s="3">
        <v>9513197248.4899998</v>
      </c>
      <c r="AK397" s="2" t="s">
        <v>1189</v>
      </c>
      <c r="AL397" s="2" t="s">
        <v>1190</v>
      </c>
      <c r="AM397" s="3">
        <f>VLOOKUP(AL397,Table1[],2,FALSE)</f>
        <v>0</v>
      </c>
      <c r="AN397" s="3">
        <f>VLOOKUP(AL397,Table1[],3,FALSE)</f>
        <v>0</v>
      </c>
      <c r="AO397" s="3">
        <f>VLOOKUP($AL397,Table1[],4,FALSE)</f>
        <v>0</v>
      </c>
      <c r="AP397" s="3">
        <f>VLOOKUP($AL397,Table1[],5,FALSE)</f>
        <v>0</v>
      </c>
      <c r="AQ397" s="3">
        <f>VLOOKUP($AL397,Table1[],6,FALSE)</f>
        <v>0</v>
      </c>
      <c r="AR397" s="3">
        <f>VLOOKUP($AL397,Table1[],7,FALSE)</f>
        <v>0</v>
      </c>
      <c r="AS397" s="3">
        <f>VLOOKUP($AL397,Table1[],8,FALSE)</f>
        <v>0</v>
      </c>
    </row>
    <row r="398" spans="1:45" x14ac:dyDescent="0.35">
      <c r="A398" s="2" t="s">
        <v>1191</v>
      </c>
      <c r="B398" s="3">
        <v>45130153.020000003</v>
      </c>
      <c r="C398" s="3">
        <v>15493559.98</v>
      </c>
      <c r="D398" s="3">
        <v>28806844.780000001</v>
      </c>
      <c r="E398" s="3">
        <v>44300404.759999998</v>
      </c>
      <c r="F398" s="3">
        <v>829748.26</v>
      </c>
      <c r="G398" s="3">
        <v>15344759.98</v>
      </c>
      <c r="H398" s="3">
        <v>15344759.98</v>
      </c>
      <c r="I398" s="3">
        <v>0</v>
      </c>
      <c r="J398" s="3">
        <v>15344759.98</v>
      </c>
      <c r="K398" s="3">
        <v>0</v>
      </c>
      <c r="L398" s="3">
        <v>29785393.039999999</v>
      </c>
      <c r="M398" s="3">
        <v>148800</v>
      </c>
      <c r="N398" s="3">
        <v>28806844.780000001</v>
      </c>
      <c r="O398" s="3">
        <v>28955644.780000001</v>
      </c>
      <c r="P398" s="3">
        <v>829748.26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45130153.020000003</v>
      </c>
      <c r="AG398" s="3">
        <v>15493559.98</v>
      </c>
      <c r="AH398" s="3">
        <v>28806844.780000001</v>
      </c>
      <c r="AI398" s="3">
        <v>44300404.759999998</v>
      </c>
      <c r="AJ398" s="3">
        <v>829748.26</v>
      </c>
      <c r="AK398" s="2" t="s">
        <v>1192</v>
      </c>
      <c r="AL398" s="2" t="s">
        <v>1193</v>
      </c>
      <c r="AM398" s="3">
        <f>VLOOKUP(AL398,Table1[],2,FALSE)</f>
        <v>0</v>
      </c>
      <c r="AN398" s="3">
        <f>VLOOKUP(AL398,Table1[],3,FALSE)</f>
        <v>0</v>
      </c>
      <c r="AO398" s="3">
        <f>VLOOKUP($AL398,Table1[],4,FALSE)</f>
        <v>0</v>
      </c>
      <c r="AP398" s="3">
        <f>VLOOKUP($AL398,Table1[],5,FALSE)</f>
        <v>0</v>
      </c>
      <c r="AQ398" s="3">
        <f>VLOOKUP($AL398,Table1[],6,FALSE)</f>
        <v>0</v>
      </c>
      <c r="AR398" s="3">
        <f>VLOOKUP($AL398,Table1[],7,FALSE)</f>
        <v>0</v>
      </c>
      <c r="AS398" s="3">
        <f>VLOOKUP($AL398,Table1[],8,FALSE)</f>
        <v>0</v>
      </c>
    </row>
    <row r="399" spans="1:45" x14ac:dyDescent="0.35">
      <c r="A399" s="2" t="s">
        <v>1194</v>
      </c>
      <c r="B399" s="3">
        <v>9744671085</v>
      </c>
      <c r="C399" s="3">
        <v>6526476624.0299997</v>
      </c>
      <c r="D399" s="3">
        <v>2992846173.2800002</v>
      </c>
      <c r="E399" s="3">
        <v>9519322797.3099995</v>
      </c>
      <c r="F399" s="3">
        <v>225348287.69</v>
      </c>
      <c r="G399" s="3">
        <v>4646818255.5600004</v>
      </c>
      <c r="H399" s="3">
        <v>4646818255.5600004</v>
      </c>
      <c r="I399" s="3">
        <v>264414074.15000001</v>
      </c>
      <c r="J399" s="3">
        <v>4911232329.71</v>
      </c>
      <c r="K399" s="3">
        <v>-264414074.15000001</v>
      </c>
      <c r="L399" s="3">
        <v>5097852829.4399996</v>
      </c>
      <c r="M399" s="3">
        <v>1879658368.47</v>
      </c>
      <c r="N399" s="3">
        <v>2707394590.8299999</v>
      </c>
      <c r="O399" s="3">
        <v>4587052959.3000002</v>
      </c>
      <c r="P399" s="3">
        <v>510799870.13999999</v>
      </c>
      <c r="Q399" s="3">
        <v>0</v>
      </c>
      <c r="R399" s="3">
        <v>0</v>
      </c>
      <c r="S399" s="3">
        <v>21037508.300000001</v>
      </c>
      <c r="T399" s="3">
        <v>21037508.300000001</v>
      </c>
      <c r="U399" s="3">
        <v>-21037508.300000001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9744671085</v>
      </c>
      <c r="AG399" s="3">
        <v>6526476624.0299997</v>
      </c>
      <c r="AH399" s="3">
        <v>2992846173.2800002</v>
      </c>
      <c r="AI399" s="3">
        <v>9519322797.3099995</v>
      </c>
      <c r="AJ399" s="3">
        <v>225348287.69</v>
      </c>
      <c r="AK399" s="2" t="s">
        <v>1195</v>
      </c>
      <c r="AL399" s="2" t="s">
        <v>1196</v>
      </c>
      <c r="AM399" s="3">
        <f>VLOOKUP(AL399,Table1[],2,FALSE)</f>
        <v>0</v>
      </c>
      <c r="AN399" s="3">
        <f>VLOOKUP(AL399,Table1[],3,FALSE)</f>
        <v>0</v>
      </c>
      <c r="AO399" s="3">
        <f>VLOOKUP($AL399,Table1[],4,FALSE)</f>
        <v>0</v>
      </c>
      <c r="AP399" s="3">
        <f>VLOOKUP($AL399,Table1[],5,FALSE)</f>
        <v>0</v>
      </c>
      <c r="AQ399" s="3">
        <f>VLOOKUP($AL399,Table1[],6,FALSE)</f>
        <v>0</v>
      </c>
      <c r="AR399" s="3">
        <f>VLOOKUP($AL399,Table1[],7,FALSE)</f>
        <v>0</v>
      </c>
      <c r="AS399" s="3">
        <f>VLOOKUP($AL399,Table1[],8,FALSE)</f>
        <v>7668252769</v>
      </c>
    </row>
    <row r="400" spans="1:45" x14ac:dyDescent="0.35">
      <c r="A400" s="2" t="s">
        <v>1197</v>
      </c>
      <c r="B400" s="3">
        <v>348260409.52999997</v>
      </c>
      <c r="C400" s="3">
        <v>268408050.47999999</v>
      </c>
      <c r="D400" s="3">
        <v>54113019.979999997</v>
      </c>
      <c r="E400" s="3">
        <v>322521070.45999998</v>
      </c>
      <c r="F400" s="3">
        <v>25739339.07</v>
      </c>
      <c r="G400" s="3">
        <v>45028990.100000001</v>
      </c>
      <c r="H400" s="3">
        <v>45028990.100000001</v>
      </c>
      <c r="I400" s="3">
        <v>1978415.26</v>
      </c>
      <c r="J400" s="3">
        <v>47007405.359999999</v>
      </c>
      <c r="K400" s="3">
        <v>-1978415.26</v>
      </c>
      <c r="L400" s="3">
        <v>303231419.43000001</v>
      </c>
      <c r="M400" s="3">
        <v>223379060.38</v>
      </c>
      <c r="N400" s="3">
        <v>37831745.609999999</v>
      </c>
      <c r="O400" s="3">
        <v>261210805.99000001</v>
      </c>
      <c r="P400" s="3">
        <v>42020613.439999998</v>
      </c>
      <c r="Q400" s="3">
        <v>0</v>
      </c>
      <c r="R400" s="3">
        <v>0</v>
      </c>
      <c r="S400" s="3">
        <v>14302859.109999999</v>
      </c>
      <c r="T400" s="3">
        <v>14302859.109999999</v>
      </c>
      <c r="U400" s="3">
        <v>-14302859.109999999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348260409.52999997</v>
      </c>
      <c r="AG400" s="3">
        <v>268408050.47999999</v>
      </c>
      <c r="AH400" s="3">
        <v>54113019.979999997</v>
      </c>
      <c r="AI400" s="3">
        <v>322521070.45999998</v>
      </c>
      <c r="AJ400" s="3">
        <v>25739339.07</v>
      </c>
      <c r="AK400" s="2" t="s">
        <v>1198</v>
      </c>
      <c r="AL400" s="2" t="s">
        <v>1199</v>
      </c>
      <c r="AM400" s="3">
        <f>VLOOKUP(AL400,Table1[],2,FALSE)</f>
        <v>0</v>
      </c>
      <c r="AN400" s="3">
        <f>VLOOKUP(AL400,Table1[],3,FALSE)</f>
        <v>0</v>
      </c>
      <c r="AO400" s="3">
        <f>VLOOKUP($AL400,Table1[],4,FALSE)</f>
        <v>0</v>
      </c>
      <c r="AP400" s="3">
        <f>VLOOKUP($AL400,Table1[],5,FALSE)</f>
        <v>0</v>
      </c>
      <c r="AQ400" s="3">
        <f>VLOOKUP($AL400,Table1[],6,FALSE)</f>
        <v>0</v>
      </c>
      <c r="AR400" s="3">
        <f>VLOOKUP($AL400,Table1[],7,FALSE)</f>
        <v>0</v>
      </c>
      <c r="AS400" s="3">
        <f>VLOOKUP($AL400,Table1[],8,FALSE)</f>
        <v>0</v>
      </c>
    </row>
    <row r="401" spans="1:45" x14ac:dyDescent="0.35">
      <c r="A401" s="2" t="s">
        <v>1200</v>
      </c>
      <c r="B401" s="3">
        <v>1472201579.6400001</v>
      </c>
      <c r="C401" s="3">
        <v>791471113.07000005</v>
      </c>
      <c r="D401" s="3">
        <v>398754845.19</v>
      </c>
      <c r="E401" s="3">
        <v>1190225958.26</v>
      </c>
      <c r="F401" s="3">
        <v>281975621.38</v>
      </c>
      <c r="G401" s="3">
        <v>545685204.85000002</v>
      </c>
      <c r="H401" s="3">
        <v>535545203.29000002</v>
      </c>
      <c r="I401" s="3">
        <v>144394637.40000001</v>
      </c>
      <c r="J401" s="3">
        <v>679939840.69000006</v>
      </c>
      <c r="K401" s="3">
        <v>-134254635.84</v>
      </c>
      <c r="L401" s="3">
        <v>926516374.78999996</v>
      </c>
      <c r="M401" s="3">
        <v>255925909.78</v>
      </c>
      <c r="N401" s="3">
        <v>232798268.22</v>
      </c>
      <c r="O401" s="3">
        <v>488724178</v>
      </c>
      <c r="P401" s="3">
        <v>437792196.79000002</v>
      </c>
      <c r="Q401" s="3">
        <v>0</v>
      </c>
      <c r="R401" s="3">
        <v>0</v>
      </c>
      <c r="S401" s="3">
        <v>21561939.57</v>
      </c>
      <c r="T401" s="3">
        <v>21561939.57</v>
      </c>
      <c r="U401" s="3">
        <v>-21561939.57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1472281953.6400001</v>
      </c>
      <c r="AG401" s="3">
        <v>791471113.07000005</v>
      </c>
      <c r="AH401" s="3">
        <v>398754845.19</v>
      </c>
      <c r="AI401" s="3">
        <v>1190225958.26</v>
      </c>
      <c r="AJ401" s="3">
        <v>282055995.38</v>
      </c>
      <c r="AK401" s="2" t="s">
        <v>1201</v>
      </c>
      <c r="AL401" s="2" t="s">
        <v>1202</v>
      </c>
      <c r="AM401" s="3">
        <f>VLOOKUP(AL401,Table1[],2,FALSE)</f>
        <v>1002175000</v>
      </c>
      <c r="AN401" s="3">
        <f>VLOOKUP(AL401,Table1[],3,FALSE)</f>
        <v>1002175000</v>
      </c>
      <c r="AO401" s="3">
        <f>VLOOKUP($AL401,Table1[],4,FALSE)</f>
        <v>0</v>
      </c>
      <c r="AP401" s="3">
        <f>VLOOKUP($AL401,Table1[],5,FALSE)</f>
        <v>0</v>
      </c>
      <c r="AQ401" s="3">
        <f>VLOOKUP($AL401,Table1[],6,FALSE)</f>
        <v>0</v>
      </c>
      <c r="AR401" s="3">
        <f>VLOOKUP($AL401,Table1[],7,FALSE)</f>
        <v>0</v>
      </c>
      <c r="AS401" s="3">
        <f>VLOOKUP($AL401,Table1[],8,FALSE)</f>
        <v>1002175000</v>
      </c>
    </row>
    <row r="402" spans="1:45" x14ac:dyDescent="0.35">
      <c r="A402" s="2" t="s">
        <v>1203</v>
      </c>
      <c r="B402" s="3">
        <v>79453010.230000004</v>
      </c>
      <c r="C402" s="3">
        <v>71371791.25</v>
      </c>
      <c r="D402" s="3">
        <v>6667119.0800000001</v>
      </c>
      <c r="E402" s="3">
        <v>78038910.329999998</v>
      </c>
      <c r="F402" s="3">
        <v>1414099.9</v>
      </c>
      <c r="G402" s="3">
        <v>71571211.25</v>
      </c>
      <c r="H402" s="3">
        <v>71371791.25</v>
      </c>
      <c r="I402" s="3">
        <v>0</v>
      </c>
      <c r="J402" s="3">
        <v>71371791.25</v>
      </c>
      <c r="K402" s="3">
        <v>199420</v>
      </c>
      <c r="L402" s="3">
        <v>7881798.9800000004</v>
      </c>
      <c r="M402" s="3">
        <v>0</v>
      </c>
      <c r="N402" s="3">
        <v>6667119.0800000001</v>
      </c>
      <c r="O402" s="3">
        <v>6667119.0800000001</v>
      </c>
      <c r="P402" s="3">
        <v>1214679.8999999999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79453010.230000004</v>
      </c>
      <c r="AG402" s="3">
        <v>71371791.25</v>
      </c>
      <c r="AH402" s="3">
        <v>6667119.0800000001</v>
      </c>
      <c r="AI402" s="3">
        <v>78038910.329999998</v>
      </c>
      <c r="AJ402" s="3">
        <v>1414099.9</v>
      </c>
      <c r="AK402" s="2" t="s">
        <v>1204</v>
      </c>
      <c r="AL402" s="2" t="s">
        <v>1205</v>
      </c>
      <c r="AM402" s="3">
        <f>VLOOKUP(AL402,Table1[],2,FALSE)</f>
        <v>0</v>
      </c>
      <c r="AN402" s="3">
        <f>VLOOKUP(AL402,Table1[],3,FALSE)</f>
        <v>0</v>
      </c>
      <c r="AO402" s="3">
        <f>VLOOKUP($AL402,Table1[],4,FALSE)</f>
        <v>0</v>
      </c>
      <c r="AP402" s="3">
        <f>VLOOKUP($AL402,Table1[],5,FALSE)</f>
        <v>0</v>
      </c>
      <c r="AQ402" s="3">
        <f>VLOOKUP($AL402,Table1[],6,FALSE)</f>
        <v>0</v>
      </c>
      <c r="AR402" s="3">
        <f>VLOOKUP($AL402,Table1[],7,FALSE)</f>
        <v>0</v>
      </c>
      <c r="AS402" s="3">
        <f>VLOOKUP($AL402,Table1[],8,FALSE)</f>
        <v>0</v>
      </c>
    </row>
    <row r="403" spans="1:45" x14ac:dyDescent="0.35">
      <c r="A403" s="2" t="s">
        <v>1206</v>
      </c>
      <c r="B403" s="3">
        <v>17143394</v>
      </c>
      <c r="C403" s="3">
        <v>6059090.3499999996</v>
      </c>
      <c r="D403" s="3">
        <v>0</v>
      </c>
      <c r="E403" s="3">
        <v>6059090.3499999996</v>
      </c>
      <c r="F403" s="3">
        <v>11084303.65</v>
      </c>
      <c r="G403" s="3">
        <v>17143394</v>
      </c>
      <c r="H403" s="3">
        <v>6059090.3499999996</v>
      </c>
      <c r="I403" s="3">
        <v>0</v>
      </c>
      <c r="J403" s="3">
        <v>6059090.3499999996</v>
      </c>
      <c r="K403" s="3">
        <v>11084303.65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17143394</v>
      </c>
      <c r="AG403" s="3">
        <v>6059090.3499999996</v>
      </c>
      <c r="AH403" s="3">
        <v>0</v>
      </c>
      <c r="AI403" s="3">
        <v>6059090.3499999996</v>
      </c>
      <c r="AJ403" s="3">
        <v>11084303.65</v>
      </c>
      <c r="AK403" s="2" t="s">
        <v>1201</v>
      </c>
      <c r="AL403" s="2" t="s">
        <v>1207</v>
      </c>
      <c r="AM403" s="3">
        <f>VLOOKUP(AL403,Table1[],2,FALSE)</f>
        <v>0</v>
      </c>
      <c r="AN403" s="3">
        <f>VLOOKUP(AL403,Table1[],3,FALSE)</f>
        <v>0</v>
      </c>
      <c r="AO403" s="3">
        <f>VLOOKUP($AL403,Table1[],4,FALSE)</f>
        <v>0</v>
      </c>
      <c r="AP403" s="3">
        <f>VLOOKUP($AL403,Table1[],5,FALSE)</f>
        <v>0</v>
      </c>
      <c r="AQ403" s="3">
        <f>VLOOKUP($AL403,Table1[],6,FALSE)</f>
        <v>0</v>
      </c>
      <c r="AR403" s="3">
        <f>VLOOKUP($AL403,Table1[],7,FALSE)</f>
        <v>0</v>
      </c>
      <c r="AS403" s="3">
        <f>VLOOKUP($AL403,Table1[],8,FALSE)</f>
        <v>0</v>
      </c>
    </row>
    <row r="404" spans="1:45" x14ac:dyDescent="0.35">
      <c r="A404" s="2" t="s">
        <v>1208</v>
      </c>
      <c r="B404" s="3">
        <v>2121388.29</v>
      </c>
      <c r="C404" s="3">
        <v>2121388.29</v>
      </c>
      <c r="D404" s="3">
        <v>0</v>
      </c>
      <c r="E404" s="3">
        <v>2121388.29</v>
      </c>
      <c r="F404" s="3">
        <v>0</v>
      </c>
      <c r="G404" s="3">
        <v>2121388.29</v>
      </c>
      <c r="H404" s="3">
        <v>2121388.29</v>
      </c>
      <c r="I404" s="3">
        <v>0</v>
      </c>
      <c r="J404" s="3">
        <v>2121388.29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2121388.29</v>
      </c>
      <c r="AG404" s="3">
        <v>2121388.29</v>
      </c>
      <c r="AH404" s="3">
        <v>0</v>
      </c>
      <c r="AI404" s="3">
        <v>2121388.29</v>
      </c>
      <c r="AJ404" s="3">
        <v>0</v>
      </c>
      <c r="AK404" s="2" t="s">
        <v>1201</v>
      </c>
      <c r="AL404" s="2" t="s">
        <v>1209</v>
      </c>
      <c r="AM404" s="3">
        <f>VLOOKUP(AL404,Table1[],2,FALSE)</f>
        <v>0</v>
      </c>
      <c r="AN404" s="3">
        <f>VLOOKUP(AL404,Table1[],3,FALSE)</f>
        <v>0</v>
      </c>
      <c r="AO404" s="3">
        <f>VLOOKUP($AL404,Table1[],4,FALSE)</f>
        <v>0</v>
      </c>
      <c r="AP404" s="3">
        <f>VLOOKUP($AL404,Table1[],5,FALSE)</f>
        <v>0</v>
      </c>
      <c r="AQ404" s="3">
        <f>VLOOKUP($AL404,Table1[],6,FALSE)</f>
        <v>0</v>
      </c>
      <c r="AR404" s="3">
        <f>VLOOKUP($AL404,Table1[],7,FALSE)</f>
        <v>0</v>
      </c>
      <c r="AS404" s="3">
        <f>VLOOKUP($AL404,Table1[],8,FALSE)</f>
        <v>0</v>
      </c>
    </row>
    <row r="405" spans="1:45" x14ac:dyDescent="0.35">
      <c r="A405" s="2" t="s">
        <v>1210</v>
      </c>
      <c r="B405" s="3">
        <v>15732155.560000001</v>
      </c>
      <c r="C405" s="3">
        <v>7589736.9100000001</v>
      </c>
      <c r="D405" s="3">
        <v>0</v>
      </c>
      <c r="E405" s="3">
        <v>7589736.9100000001</v>
      </c>
      <c r="F405" s="3">
        <v>8142418.6500000004</v>
      </c>
      <c r="G405" s="3">
        <v>15732155.560000001</v>
      </c>
      <c r="H405" s="3">
        <v>7589736.9100000001</v>
      </c>
      <c r="I405" s="3">
        <v>0</v>
      </c>
      <c r="J405" s="3">
        <v>7589736.9100000001</v>
      </c>
      <c r="K405" s="3">
        <v>8142418.6500000004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15732155.560000001</v>
      </c>
      <c r="AG405" s="3">
        <v>7589736.9100000001</v>
      </c>
      <c r="AH405" s="3">
        <v>0</v>
      </c>
      <c r="AI405" s="3">
        <v>7589736.9100000001</v>
      </c>
      <c r="AJ405" s="3">
        <v>8142418.6500000004</v>
      </c>
      <c r="AK405" s="2" t="s">
        <v>1201</v>
      </c>
      <c r="AL405" s="2" t="s">
        <v>1211</v>
      </c>
      <c r="AM405" s="3">
        <f>VLOOKUP(AL405,Table1[],2,FALSE)</f>
        <v>0</v>
      </c>
      <c r="AN405" s="3">
        <f>VLOOKUP(AL405,Table1[],3,FALSE)</f>
        <v>0</v>
      </c>
      <c r="AO405" s="3">
        <f>VLOOKUP($AL405,Table1[],4,FALSE)</f>
        <v>0</v>
      </c>
      <c r="AP405" s="3">
        <f>VLOOKUP($AL405,Table1[],5,FALSE)</f>
        <v>0</v>
      </c>
      <c r="AQ405" s="3">
        <f>VLOOKUP($AL405,Table1[],6,FALSE)</f>
        <v>0</v>
      </c>
      <c r="AR405" s="3">
        <f>VLOOKUP($AL405,Table1[],7,FALSE)</f>
        <v>0</v>
      </c>
      <c r="AS405" s="3">
        <f>VLOOKUP($AL405,Table1[],8,FALSE)</f>
        <v>0</v>
      </c>
    </row>
    <row r="406" spans="1:45" x14ac:dyDescent="0.35">
      <c r="A406" s="2" t="s">
        <v>1212</v>
      </c>
      <c r="B406" s="3">
        <v>200677379</v>
      </c>
      <c r="C406" s="3">
        <v>0</v>
      </c>
      <c r="D406" s="3">
        <v>0</v>
      </c>
      <c r="E406" s="3">
        <v>0</v>
      </c>
      <c r="F406" s="3">
        <v>200677379</v>
      </c>
      <c r="G406" s="3">
        <v>200677379</v>
      </c>
      <c r="H406" s="3">
        <v>0</v>
      </c>
      <c r="I406" s="3">
        <v>0</v>
      </c>
      <c r="J406" s="3">
        <v>0</v>
      </c>
      <c r="K406" s="3">
        <v>200677379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200677379</v>
      </c>
      <c r="AG406" s="3">
        <v>0</v>
      </c>
      <c r="AH406" s="3">
        <v>0</v>
      </c>
      <c r="AI406" s="3">
        <v>0</v>
      </c>
      <c r="AJ406" s="3">
        <v>200677379</v>
      </c>
      <c r="AK406" s="2" t="s">
        <v>1213</v>
      </c>
      <c r="AL406" s="2" t="s">
        <v>1214</v>
      </c>
      <c r="AM406" s="3">
        <f>VLOOKUP(AL406,Table1[],2,FALSE)</f>
        <v>200677379</v>
      </c>
      <c r="AN406" s="3">
        <f>VLOOKUP(AL406,Table1[],3,FALSE)</f>
        <v>200677379</v>
      </c>
      <c r="AO406" s="3">
        <f>VLOOKUP($AL406,Table1[],4,FALSE)</f>
        <v>0</v>
      </c>
      <c r="AP406" s="3">
        <f>VLOOKUP($AL406,Table1[],5,FALSE)</f>
        <v>0</v>
      </c>
      <c r="AQ406" s="3">
        <f>VLOOKUP($AL406,Table1[],6,FALSE)</f>
        <v>0</v>
      </c>
      <c r="AR406" s="3">
        <f>VLOOKUP($AL406,Table1[],7,FALSE)</f>
        <v>0</v>
      </c>
      <c r="AS406" s="3">
        <f>VLOOKUP($AL406,Table1[],8,FALSE)</f>
        <v>200677379</v>
      </c>
    </row>
    <row r="407" spans="1:45" x14ac:dyDescent="0.35">
      <c r="A407" s="2" t="s">
        <v>1215</v>
      </c>
      <c r="B407" s="3">
        <v>74971214.640000001</v>
      </c>
      <c r="C407" s="3">
        <v>44171009.700000003</v>
      </c>
      <c r="D407" s="3">
        <v>22858158.649999999</v>
      </c>
      <c r="E407" s="3">
        <v>67029168.350000001</v>
      </c>
      <c r="F407" s="3">
        <v>7942046.29</v>
      </c>
      <c r="G407" s="3">
        <v>18786576.719999999</v>
      </c>
      <c r="H407" s="3">
        <v>18786576.719999999</v>
      </c>
      <c r="I407" s="3">
        <v>0</v>
      </c>
      <c r="J407" s="3">
        <v>18786576.719999999</v>
      </c>
      <c r="K407" s="3">
        <v>0</v>
      </c>
      <c r="L407" s="3">
        <v>56184637.920000002</v>
      </c>
      <c r="M407" s="3">
        <v>25384432.98</v>
      </c>
      <c r="N407" s="3">
        <v>22858158.649999999</v>
      </c>
      <c r="O407" s="3">
        <v>48242591.630000003</v>
      </c>
      <c r="P407" s="3">
        <v>7942046.29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74971219.640000001</v>
      </c>
      <c r="AG407" s="3">
        <v>44171009.700000003</v>
      </c>
      <c r="AH407" s="3">
        <v>22858158.649999999</v>
      </c>
      <c r="AI407" s="3">
        <v>67029168.350000001</v>
      </c>
      <c r="AJ407" s="3">
        <v>7942051.29</v>
      </c>
      <c r="AK407" s="2" t="s">
        <v>1216</v>
      </c>
      <c r="AL407" s="2" t="s">
        <v>1217</v>
      </c>
      <c r="AM407" s="3">
        <f>VLOOKUP(AL407,Table1[],2,FALSE)</f>
        <v>0</v>
      </c>
      <c r="AN407" s="3">
        <f>VLOOKUP(AL407,Table1[],3,FALSE)</f>
        <v>0</v>
      </c>
      <c r="AO407" s="3">
        <f>VLOOKUP($AL407,Table1[],4,FALSE)</f>
        <v>0</v>
      </c>
      <c r="AP407" s="3">
        <f>VLOOKUP($AL407,Table1[],5,FALSE)</f>
        <v>0</v>
      </c>
      <c r="AQ407" s="3">
        <f>VLOOKUP($AL407,Table1[],6,FALSE)</f>
        <v>0</v>
      </c>
      <c r="AR407" s="3">
        <f>VLOOKUP($AL407,Table1[],7,FALSE)</f>
        <v>0</v>
      </c>
      <c r="AS407" s="3">
        <f>VLOOKUP($AL407,Table1[],8,FALSE)</f>
        <v>0</v>
      </c>
    </row>
    <row r="408" spans="1:45" x14ac:dyDescent="0.35">
      <c r="A408" s="2" t="s">
        <v>1218</v>
      </c>
      <c r="B408" s="3">
        <v>60940573790.169998</v>
      </c>
      <c r="C408" s="3">
        <v>45162624530.25</v>
      </c>
      <c r="D408" s="3">
        <v>11080131829.219999</v>
      </c>
      <c r="E408" s="3">
        <v>56242756359.470001</v>
      </c>
      <c r="F408" s="3">
        <v>4697817430.6999998</v>
      </c>
      <c r="G408" s="3">
        <v>60940573790.169998</v>
      </c>
      <c r="H408" s="3">
        <v>44108945457.18</v>
      </c>
      <c r="I408" s="3">
        <v>11079413315.790001</v>
      </c>
      <c r="J408" s="3">
        <v>55188358772.970001</v>
      </c>
      <c r="K408" s="3">
        <v>5752215017.1999998</v>
      </c>
      <c r="L408" s="3">
        <v>0</v>
      </c>
      <c r="M408" s="3">
        <v>1053679073.0700001</v>
      </c>
      <c r="N408" s="3">
        <v>718513.43</v>
      </c>
      <c r="O408" s="3">
        <v>1054397586.5</v>
      </c>
      <c r="P408" s="3">
        <v>-1054397586.5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60940573946.330002</v>
      </c>
      <c r="AG408" s="3">
        <v>45162624530.25</v>
      </c>
      <c r="AH408" s="3">
        <v>11080131829.219999</v>
      </c>
      <c r="AI408" s="3">
        <v>56242756359.470001</v>
      </c>
      <c r="AJ408" s="3">
        <v>4697817586.8599997</v>
      </c>
      <c r="AK408" s="2" t="s">
        <v>1219</v>
      </c>
      <c r="AL408" s="2" t="s">
        <v>1220</v>
      </c>
      <c r="AM408" s="3">
        <f>VLOOKUP(AL408,Table1[],2,FALSE)</f>
        <v>0</v>
      </c>
      <c r="AN408" s="3">
        <f>VLOOKUP(AL408,Table1[],3,FALSE)</f>
        <v>0</v>
      </c>
      <c r="AO408" s="3">
        <f>VLOOKUP($AL408,Table1[],4,FALSE)</f>
        <v>0</v>
      </c>
      <c r="AP408" s="3">
        <f>VLOOKUP($AL408,Table1[],5,FALSE)</f>
        <v>0</v>
      </c>
      <c r="AQ408" s="3">
        <f>VLOOKUP($AL408,Table1[],6,FALSE)</f>
        <v>0</v>
      </c>
      <c r="AR408" s="3">
        <f>VLOOKUP($AL408,Table1[],7,FALSE)</f>
        <v>0</v>
      </c>
      <c r="AS408" s="3">
        <f>VLOOKUP($AL408,Table1[],8,FALSE)</f>
        <v>0</v>
      </c>
    </row>
    <row r="409" spans="1:45" x14ac:dyDescent="0.35">
      <c r="A409" s="2" t="s">
        <v>1221</v>
      </c>
      <c r="B409" s="3">
        <v>65043912350</v>
      </c>
      <c r="C409" s="3">
        <v>41005513445.93</v>
      </c>
      <c r="D409" s="3">
        <v>14029285853.75</v>
      </c>
      <c r="E409" s="3">
        <v>55034799299.68</v>
      </c>
      <c r="F409" s="3">
        <v>10009113050.32</v>
      </c>
      <c r="G409" s="3">
        <v>19229029418.380001</v>
      </c>
      <c r="H409" s="3">
        <v>18437937192.959999</v>
      </c>
      <c r="I409" s="3">
        <v>269782169.47000003</v>
      </c>
      <c r="J409" s="3">
        <v>18707719362.43</v>
      </c>
      <c r="K409" s="3">
        <v>521310055.94999999</v>
      </c>
      <c r="L409" s="3">
        <v>45814882931.620003</v>
      </c>
      <c r="M409" s="3">
        <v>22567576252.970001</v>
      </c>
      <c r="N409" s="3">
        <v>12976617562.83</v>
      </c>
      <c r="O409" s="3">
        <v>35544193815.800003</v>
      </c>
      <c r="P409" s="3">
        <v>10270689115.82</v>
      </c>
      <c r="Q409" s="3">
        <v>0</v>
      </c>
      <c r="R409" s="3">
        <v>0</v>
      </c>
      <c r="S409" s="3">
        <v>759333208.79999995</v>
      </c>
      <c r="T409" s="3">
        <v>759333208.79999995</v>
      </c>
      <c r="U409" s="3">
        <v>-759333208.79999995</v>
      </c>
      <c r="V409" s="3">
        <v>0</v>
      </c>
      <c r="W409" s="3">
        <v>0</v>
      </c>
      <c r="X409" s="3">
        <v>23552912.649999999</v>
      </c>
      <c r="Y409" s="3">
        <v>23552912.649999999</v>
      </c>
      <c r="Z409" s="3">
        <v>-23552912.649999999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65043912350</v>
      </c>
      <c r="AG409" s="3">
        <v>41005513445.93</v>
      </c>
      <c r="AH409" s="3">
        <v>14029285853.75</v>
      </c>
      <c r="AI409" s="3">
        <v>55034799299.68</v>
      </c>
      <c r="AJ409" s="3">
        <v>10009113050.32</v>
      </c>
      <c r="AK409" s="2" t="s">
        <v>1219</v>
      </c>
      <c r="AL409" s="2" t="s">
        <v>1222</v>
      </c>
      <c r="AM409" s="3">
        <f>VLOOKUP(AL409,Table1[],2,FALSE)</f>
        <v>0</v>
      </c>
      <c r="AN409" s="3">
        <f>VLOOKUP(AL409,Table1[],3,FALSE)</f>
        <v>0</v>
      </c>
      <c r="AO409" s="3">
        <f>VLOOKUP($AL409,Table1[],4,FALSE)</f>
        <v>0</v>
      </c>
      <c r="AP409" s="3">
        <f>VLOOKUP($AL409,Table1[],5,FALSE)</f>
        <v>0</v>
      </c>
      <c r="AQ409" s="3">
        <f>VLOOKUP($AL409,Table1[],6,FALSE)</f>
        <v>0</v>
      </c>
      <c r="AR409" s="3">
        <f>VLOOKUP($AL409,Table1[],7,FALSE)</f>
        <v>0</v>
      </c>
      <c r="AS409" s="3">
        <f>VLOOKUP($AL409,Table1[],8,FALSE)</f>
        <v>0</v>
      </c>
    </row>
    <row r="410" spans="1:45" x14ac:dyDescent="0.35">
      <c r="A410" s="2" t="s">
        <v>1223</v>
      </c>
      <c r="B410" s="3">
        <v>1932643000</v>
      </c>
      <c r="C410" s="3">
        <v>66072063.979999997</v>
      </c>
      <c r="D410" s="3">
        <v>180095236.06999999</v>
      </c>
      <c r="E410" s="3">
        <v>246167300.05000001</v>
      </c>
      <c r="F410" s="3">
        <v>1686475699.95</v>
      </c>
      <c r="G410" s="3">
        <v>55708496</v>
      </c>
      <c r="H410" s="3">
        <v>55708496</v>
      </c>
      <c r="I410" s="3">
        <v>4759314</v>
      </c>
      <c r="J410" s="3">
        <v>60467810</v>
      </c>
      <c r="K410" s="3">
        <v>-4759314</v>
      </c>
      <c r="L410" s="3">
        <v>1876934504</v>
      </c>
      <c r="M410" s="3">
        <v>10363567.98</v>
      </c>
      <c r="N410" s="3">
        <v>4623122</v>
      </c>
      <c r="O410" s="3">
        <v>14986689.98</v>
      </c>
      <c r="P410" s="3">
        <v>1861947814.02</v>
      </c>
      <c r="Q410" s="3">
        <v>0</v>
      </c>
      <c r="R410" s="3">
        <v>0</v>
      </c>
      <c r="S410" s="3">
        <v>170712800.06999999</v>
      </c>
      <c r="T410" s="3">
        <v>170712800.06999999</v>
      </c>
      <c r="U410" s="3">
        <v>-170712800.06999999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1932643000</v>
      </c>
      <c r="AG410" s="3">
        <v>66072063.979999997</v>
      </c>
      <c r="AH410" s="3">
        <v>180095236.06999999</v>
      </c>
      <c r="AI410" s="3">
        <v>246167300.05000001</v>
      </c>
      <c r="AJ410" s="3">
        <v>1686475699.95</v>
      </c>
      <c r="AK410" s="2" t="s">
        <v>1224</v>
      </c>
      <c r="AL410" s="2" t="s">
        <v>1225</v>
      </c>
      <c r="AM410" s="3">
        <f>VLOOKUP(AL410,Table1[],2,FALSE)</f>
        <v>438500000</v>
      </c>
      <c r="AN410" s="3">
        <f>VLOOKUP(AL410,Table1[],3,FALSE)</f>
        <v>432600000</v>
      </c>
      <c r="AO410" s="3">
        <f>VLOOKUP($AL410,Table1[],4,FALSE)</f>
        <v>5900000</v>
      </c>
      <c r="AP410" s="3">
        <f>VLOOKUP($AL410,Table1[],5,FALSE)</f>
        <v>0</v>
      </c>
      <c r="AQ410" s="3">
        <f>VLOOKUP($AL410,Table1[],6,FALSE)</f>
        <v>0</v>
      </c>
      <c r="AR410" s="3">
        <f>VLOOKUP($AL410,Table1[],7,FALSE)</f>
        <v>0</v>
      </c>
      <c r="AS410" s="3">
        <f>VLOOKUP($AL410,Table1[],8,FALSE)</f>
        <v>432600000</v>
      </c>
    </row>
    <row r="411" spans="1:45" x14ac:dyDescent="0.35">
      <c r="A411" s="2" t="s">
        <v>1226</v>
      </c>
      <c r="B411" s="3">
        <v>453345000</v>
      </c>
      <c r="C411" s="3">
        <v>0</v>
      </c>
      <c r="D411" s="3">
        <v>0</v>
      </c>
      <c r="E411" s="3">
        <v>0</v>
      </c>
      <c r="F411" s="3">
        <v>453345000</v>
      </c>
      <c r="G411" s="3">
        <v>453345000</v>
      </c>
      <c r="H411" s="3">
        <v>0</v>
      </c>
      <c r="I411" s="3">
        <v>0</v>
      </c>
      <c r="J411" s="3">
        <v>0</v>
      </c>
      <c r="K411" s="3">
        <v>453345000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453345000</v>
      </c>
      <c r="AG411" s="3">
        <v>0</v>
      </c>
      <c r="AH411" s="3">
        <v>0</v>
      </c>
      <c r="AI411" s="3">
        <v>0</v>
      </c>
      <c r="AJ411" s="3">
        <v>453345000</v>
      </c>
      <c r="AK411" s="2" t="s">
        <v>1227</v>
      </c>
      <c r="AL411" s="2" t="s">
        <v>1228</v>
      </c>
      <c r="AM411" s="3">
        <f>VLOOKUP(AL411,Table1[],2,FALSE)</f>
        <v>1771976000</v>
      </c>
      <c r="AN411" s="3">
        <f>VLOOKUP(AL411,Table1[],3,FALSE)</f>
        <v>1771976000</v>
      </c>
      <c r="AO411" s="3">
        <f>VLOOKUP($AL411,Table1[],4,FALSE)</f>
        <v>0</v>
      </c>
      <c r="AP411" s="3">
        <f>VLOOKUP($AL411,Table1[],5,FALSE)</f>
        <v>0</v>
      </c>
      <c r="AQ411" s="3">
        <f>VLOOKUP($AL411,Table1[],6,FALSE)</f>
        <v>0</v>
      </c>
      <c r="AR411" s="3">
        <f>VLOOKUP($AL411,Table1[],7,FALSE)</f>
        <v>0</v>
      </c>
      <c r="AS411" s="3">
        <f>VLOOKUP($AL411,Table1[],8,FALSE)</f>
        <v>885988000</v>
      </c>
    </row>
    <row r="420" spans="1:1" x14ac:dyDescent="0.35">
      <c r="A420" t="str">
        <f>B1</f>
        <v>Total of years</v>
      </c>
    </row>
    <row r="421" spans="1:1" x14ac:dyDescent="0.35">
      <c r="A421" t="str">
        <f>G1</f>
        <v>Previous years</v>
      </c>
    </row>
    <row r="422" spans="1:1" x14ac:dyDescent="0.35">
      <c r="A422" t="str">
        <f>L1</f>
        <v>2024</v>
      </c>
    </row>
    <row r="423" spans="1:1" x14ac:dyDescent="0.35">
      <c r="A423" t="str">
        <f>Q1</f>
        <v>2025</v>
      </c>
    </row>
    <row r="424" spans="1:1" x14ac:dyDescent="0.35">
      <c r="A424" t="str">
        <f>V1</f>
        <v>2026</v>
      </c>
    </row>
    <row r="425" spans="1:1" x14ac:dyDescent="0.35">
      <c r="A425" t="str">
        <f>AA1</f>
        <v>2027 and Following</v>
      </c>
    </row>
    <row r="426" spans="1:1" x14ac:dyDescent="0.35">
      <c r="A426" t="str">
        <f>AF1</f>
        <v>Overall values</v>
      </c>
    </row>
  </sheetData>
  <mergeCells count="9">
    <mergeCell ref="A1:A2"/>
    <mergeCell ref="AN1:AS1"/>
    <mergeCell ref="AF1:AJ1"/>
    <mergeCell ref="G1:K1"/>
    <mergeCell ref="B1:F1"/>
    <mergeCell ref="L1:P1"/>
    <mergeCell ref="Q1:U1"/>
    <mergeCell ref="V1:Z1"/>
    <mergeCell ref="AA1:AE1"/>
  </mergeCells>
  <conditionalFormatting sqref="A3:AS411">
    <cfRule type="expression" dxfId="0" priority="1">
      <formula>MOD(ROW(),2) &gt; 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0"/>
  <sheetViews>
    <sheetView workbookViewId="0">
      <selection activeCell="K9" sqref="K9"/>
    </sheetView>
  </sheetViews>
  <sheetFormatPr defaultRowHeight="14.5" x14ac:dyDescent="0.35"/>
  <cols>
    <col min="1" max="1" width="13.7265625" bestFit="1" customWidth="1"/>
    <col min="2" max="2" width="18.7265625" bestFit="1" customWidth="1"/>
    <col min="3" max="4" width="18.7265625" style="1" bestFit="1" customWidth="1"/>
    <col min="5" max="5" width="6.81640625" bestFit="1" customWidth="1"/>
    <col min="6" max="6" width="6.81640625" customWidth="1"/>
    <col min="7" max="7" width="18.81640625" customWidth="1"/>
    <col min="8" max="8" width="18.7265625" style="1" bestFit="1" customWidth="1"/>
  </cols>
  <sheetData>
    <row r="1" spans="1:8" x14ac:dyDescent="0.35">
      <c r="A1" t="s">
        <v>8</v>
      </c>
      <c r="B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s="1" t="s">
        <v>6</v>
      </c>
    </row>
    <row r="2" spans="1:8" x14ac:dyDescent="0.35">
      <c r="A2" t="s">
        <v>20</v>
      </c>
      <c r="B2" s="1">
        <v>17555000001</v>
      </c>
      <c r="C2" s="1">
        <v>17555000001</v>
      </c>
      <c r="D2" s="1">
        <v>0</v>
      </c>
      <c r="E2">
        <v>0</v>
      </c>
      <c r="F2">
        <v>0</v>
      </c>
      <c r="G2">
        <v>0</v>
      </c>
      <c r="H2" s="1">
        <v>17575000001</v>
      </c>
    </row>
    <row r="3" spans="1:8" x14ac:dyDescent="0.35">
      <c r="A3" t="s">
        <v>26</v>
      </c>
      <c r="B3" s="1">
        <v>5945634</v>
      </c>
      <c r="C3" s="1">
        <v>5945634</v>
      </c>
      <c r="D3" s="1">
        <v>0</v>
      </c>
      <c r="E3">
        <v>0</v>
      </c>
      <c r="F3">
        <v>0</v>
      </c>
      <c r="G3">
        <v>0</v>
      </c>
      <c r="H3" s="1">
        <v>5945634</v>
      </c>
    </row>
    <row r="4" spans="1:8" x14ac:dyDescent="0.35">
      <c r="A4" t="s">
        <v>29</v>
      </c>
      <c r="B4" s="1">
        <v>18295400</v>
      </c>
      <c r="C4" s="1">
        <v>18295400</v>
      </c>
      <c r="D4" s="1">
        <v>0</v>
      </c>
      <c r="E4">
        <v>0</v>
      </c>
      <c r="F4">
        <v>0</v>
      </c>
      <c r="G4">
        <v>0</v>
      </c>
      <c r="H4" s="1">
        <v>18295400</v>
      </c>
    </row>
    <row r="5" spans="1:8" x14ac:dyDescent="0.35">
      <c r="A5" t="s">
        <v>32</v>
      </c>
      <c r="B5" s="1">
        <v>718500000</v>
      </c>
      <c r="C5" s="1">
        <v>718500000</v>
      </c>
      <c r="D5" s="1">
        <v>0</v>
      </c>
      <c r="E5">
        <v>0</v>
      </c>
      <c r="F5">
        <v>0</v>
      </c>
      <c r="G5">
        <v>0</v>
      </c>
      <c r="H5" s="1">
        <v>718500000</v>
      </c>
    </row>
    <row r="6" spans="1:8" x14ac:dyDescent="0.35">
      <c r="A6" t="s">
        <v>35</v>
      </c>
      <c r="B6" s="1">
        <v>33358500000</v>
      </c>
      <c r="C6" s="1">
        <v>33358500000</v>
      </c>
      <c r="D6" s="1">
        <v>0</v>
      </c>
      <c r="E6">
        <v>0</v>
      </c>
      <c r="F6">
        <v>0</v>
      </c>
      <c r="G6">
        <v>0</v>
      </c>
      <c r="H6" s="1">
        <v>33358500000</v>
      </c>
    </row>
    <row r="7" spans="1:8" x14ac:dyDescent="0.35">
      <c r="A7" t="s">
        <v>38</v>
      </c>
      <c r="B7" s="1">
        <v>1400000000</v>
      </c>
      <c r="C7" s="1">
        <v>0</v>
      </c>
      <c r="D7" s="1">
        <v>1400000000</v>
      </c>
      <c r="E7">
        <v>0</v>
      </c>
      <c r="F7">
        <v>0</v>
      </c>
      <c r="G7">
        <v>0</v>
      </c>
      <c r="H7" s="1">
        <v>1400000000</v>
      </c>
    </row>
    <row r="8" spans="1:8" x14ac:dyDescent="0.35">
      <c r="A8" t="s">
        <v>41</v>
      </c>
      <c r="B8" s="1">
        <v>359054495</v>
      </c>
      <c r="C8" s="1">
        <v>325589555</v>
      </c>
      <c r="D8" s="1">
        <v>33464940</v>
      </c>
      <c r="E8">
        <v>0</v>
      </c>
      <c r="F8">
        <v>0</v>
      </c>
      <c r="G8">
        <v>0</v>
      </c>
      <c r="H8" s="1">
        <v>359054495</v>
      </c>
    </row>
    <row r="9" spans="1:8" x14ac:dyDescent="0.35">
      <c r="A9" t="s">
        <v>44</v>
      </c>
      <c r="B9" s="1">
        <v>3390000000</v>
      </c>
      <c r="C9" s="1">
        <v>3390000000</v>
      </c>
      <c r="D9" s="1">
        <v>0</v>
      </c>
      <c r="E9">
        <v>0</v>
      </c>
      <c r="F9">
        <v>0</v>
      </c>
      <c r="G9">
        <v>0</v>
      </c>
      <c r="H9" s="1">
        <v>3390000000</v>
      </c>
    </row>
    <row r="10" spans="1:8" x14ac:dyDescent="0.35">
      <c r="A10" t="s">
        <v>47</v>
      </c>
      <c r="B10" s="1">
        <v>37557200000</v>
      </c>
      <c r="C10" s="1">
        <v>37557200000</v>
      </c>
      <c r="D10" s="1">
        <v>0</v>
      </c>
      <c r="E10">
        <v>0</v>
      </c>
      <c r="F10">
        <v>0</v>
      </c>
      <c r="G10">
        <v>0</v>
      </c>
      <c r="H10" s="1">
        <v>37557200000</v>
      </c>
    </row>
    <row r="11" spans="1:8" x14ac:dyDescent="0.35">
      <c r="A11" t="s">
        <v>50</v>
      </c>
      <c r="B11" s="1">
        <v>790000000</v>
      </c>
      <c r="C11" s="1">
        <v>790000000</v>
      </c>
      <c r="D11" s="1">
        <v>0</v>
      </c>
      <c r="E11">
        <v>0</v>
      </c>
      <c r="F11">
        <v>0</v>
      </c>
      <c r="G11">
        <v>0</v>
      </c>
      <c r="H11" s="1">
        <v>790000000</v>
      </c>
    </row>
    <row r="12" spans="1:8" x14ac:dyDescent="0.35">
      <c r="A12" t="s">
        <v>52</v>
      </c>
      <c r="B12" s="1">
        <v>3500000000</v>
      </c>
      <c r="C12" s="1">
        <v>1500000000</v>
      </c>
      <c r="D12" s="1">
        <v>2000000000</v>
      </c>
      <c r="E12">
        <v>0</v>
      </c>
      <c r="F12">
        <v>0</v>
      </c>
      <c r="G12">
        <v>0</v>
      </c>
      <c r="H12" s="1">
        <v>2700000000</v>
      </c>
    </row>
    <row r="13" spans="1:8" x14ac:dyDescent="0.35">
      <c r="A13" t="s">
        <v>55</v>
      </c>
      <c r="B13" s="1">
        <v>3787793152</v>
      </c>
      <c r="C13" s="1">
        <v>3787793152</v>
      </c>
      <c r="D13" s="1">
        <v>0</v>
      </c>
      <c r="E13">
        <v>0</v>
      </c>
      <c r="F13">
        <v>0</v>
      </c>
      <c r="G13">
        <v>0</v>
      </c>
      <c r="H13" s="1">
        <v>11092690297</v>
      </c>
    </row>
    <row r="14" spans="1:8" x14ac:dyDescent="0.35">
      <c r="A14" t="s">
        <v>58</v>
      </c>
      <c r="B14" s="1">
        <v>1162278</v>
      </c>
      <c r="C14" s="1">
        <v>1162278</v>
      </c>
      <c r="D14" s="1">
        <v>0</v>
      </c>
      <c r="E14">
        <v>0</v>
      </c>
      <c r="F14">
        <v>0</v>
      </c>
      <c r="G14">
        <v>0</v>
      </c>
      <c r="H14" s="1">
        <v>9148902993</v>
      </c>
    </row>
    <row r="15" spans="1:8" x14ac:dyDescent="0.35">
      <c r="A15" t="s">
        <v>61</v>
      </c>
      <c r="B15" s="1">
        <v>4805000000</v>
      </c>
      <c r="C15" s="1">
        <v>0</v>
      </c>
      <c r="D15" s="1">
        <v>4805000000</v>
      </c>
      <c r="E15">
        <v>0</v>
      </c>
      <c r="F15">
        <v>0</v>
      </c>
      <c r="G15">
        <v>0</v>
      </c>
      <c r="H15" s="1">
        <v>4805000000</v>
      </c>
    </row>
    <row r="16" spans="1:8" x14ac:dyDescent="0.35">
      <c r="A16" t="s">
        <v>67</v>
      </c>
      <c r="B16" s="1">
        <v>6669830</v>
      </c>
      <c r="C16" s="1">
        <v>6669830</v>
      </c>
      <c r="D16" s="1">
        <v>0</v>
      </c>
      <c r="E16">
        <v>0</v>
      </c>
      <c r="F16">
        <v>0</v>
      </c>
      <c r="G16">
        <v>0</v>
      </c>
      <c r="H16" s="1">
        <v>10669830</v>
      </c>
    </row>
    <row r="17" spans="1:8" x14ac:dyDescent="0.35">
      <c r="A17" t="s">
        <v>70</v>
      </c>
      <c r="B17" s="1">
        <v>0</v>
      </c>
      <c r="C17" s="1">
        <v>0</v>
      </c>
      <c r="D17" s="1">
        <v>0</v>
      </c>
      <c r="E17">
        <v>0</v>
      </c>
      <c r="F17">
        <v>0</v>
      </c>
      <c r="G17">
        <v>0</v>
      </c>
      <c r="H17" s="1">
        <v>0</v>
      </c>
    </row>
    <row r="18" spans="1:8" x14ac:dyDescent="0.35">
      <c r="A18" t="s">
        <v>73</v>
      </c>
      <c r="B18" s="1">
        <v>2951200000</v>
      </c>
      <c r="C18" s="1">
        <v>2951200000</v>
      </c>
      <c r="D18" s="1">
        <v>0</v>
      </c>
      <c r="E18">
        <v>0</v>
      </c>
      <c r="F18">
        <v>0</v>
      </c>
      <c r="G18">
        <v>0</v>
      </c>
      <c r="H18" s="1">
        <v>2951200000</v>
      </c>
    </row>
    <row r="19" spans="1:8" x14ac:dyDescent="0.35">
      <c r="A19" t="s">
        <v>76</v>
      </c>
      <c r="B19" s="1">
        <v>12138960364</v>
      </c>
      <c r="C19" s="1">
        <v>0</v>
      </c>
      <c r="D19" s="1">
        <v>12138960364</v>
      </c>
      <c r="E19">
        <v>0</v>
      </c>
      <c r="F19">
        <v>0</v>
      </c>
      <c r="G19">
        <v>0</v>
      </c>
      <c r="H19" s="1">
        <v>12138960364</v>
      </c>
    </row>
    <row r="20" spans="1:8" x14ac:dyDescent="0.35">
      <c r="A20" t="s">
        <v>79</v>
      </c>
      <c r="B20" s="1">
        <v>0</v>
      </c>
      <c r="C20" s="1">
        <v>0</v>
      </c>
      <c r="D20" s="1">
        <v>0</v>
      </c>
      <c r="E20">
        <v>0</v>
      </c>
      <c r="F20">
        <v>0</v>
      </c>
      <c r="G20">
        <v>0</v>
      </c>
      <c r="H20" s="1">
        <v>0</v>
      </c>
    </row>
    <row r="21" spans="1:8" x14ac:dyDescent="0.35">
      <c r="A21" t="s">
        <v>82</v>
      </c>
      <c r="B21" s="1">
        <v>668500000</v>
      </c>
      <c r="C21" s="1">
        <v>668500000</v>
      </c>
      <c r="D21" s="1">
        <v>0</v>
      </c>
      <c r="E21">
        <v>0</v>
      </c>
      <c r="F21">
        <v>0</v>
      </c>
      <c r="G21">
        <v>0</v>
      </c>
      <c r="H21" s="1">
        <v>668500000</v>
      </c>
    </row>
    <row r="22" spans="1:8" x14ac:dyDescent="0.35">
      <c r="A22" t="s">
        <v>85</v>
      </c>
      <c r="B22" s="1">
        <v>1058534096</v>
      </c>
      <c r="C22" s="1">
        <v>1058534096</v>
      </c>
      <c r="D22" s="1">
        <v>0</v>
      </c>
      <c r="E22">
        <v>0</v>
      </c>
      <c r="F22">
        <v>0</v>
      </c>
      <c r="G22">
        <v>0</v>
      </c>
      <c r="H22" s="1">
        <v>1058534096</v>
      </c>
    </row>
    <row r="23" spans="1:8" x14ac:dyDescent="0.35">
      <c r="A23" t="s">
        <v>88</v>
      </c>
      <c r="B23" s="1">
        <v>6720</v>
      </c>
      <c r="C23" s="1">
        <v>6720</v>
      </c>
      <c r="D23" s="1">
        <v>0</v>
      </c>
      <c r="E23">
        <v>0</v>
      </c>
      <c r="F23">
        <v>0</v>
      </c>
      <c r="G23">
        <v>0</v>
      </c>
      <c r="H23" s="1">
        <v>6551</v>
      </c>
    </row>
    <row r="24" spans="1:8" x14ac:dyDescent="0.35">
      <c r="A24" t="s">
        <v>91</v>
      </c>
      <c r="B24" s="1">
        <v>12542700000</v>
      </c>
      <c r="C24" s="1">
        <v>11542700000</v>
      </c>
      <c r="D24" s="1">
        <v>1000000000</v>
      </c>
      <c r="E24">
        <v>0</v>
      </c>
      <c r="F24">
        <v>0</v>
      </c>
      <c r="G24">
        <v>0</v>
      </c>
      <c r="H24" s="1">
        <v>11542700000</v>
      </c>
    </row>
    <row r="25" spans="1:8" x14ac:dyDescent="0.35">
      <c r="A25" t="s">
        <v>94</v>
      </c>
      <c r="B25" s="1">
        <v>0</v>
      </c>
      <c r="C25" s="1">
        <v>0</v>
      </c>
      <c r="D25" s="1">
        <v>0</v>
      </c>
      <c r="E25">
        <v>0</v>
      </c>
      <c r="F25">
        <v>0</v>
      </c>
      <c r="G25">
        <v>0</v>
      </c>
      <c r="H25" s="1">
        <v>0</v>
      </c>
    </row>
    <row r="26" spans="1:8" x14ac:dyDescent="0.35">
      <c r="A26" t="s">
        <v>97</v>
      </c>
      <c r="B26" s="1">
        <v>307545691</v>
      </c>
      <c r="C26" s="1">
        <v>307545691</v>
      </c>
      <c r="D26" s="1">
        <v>0</v>
      </c>
      <c r="E26">
        <v>0</v>
      </c>
      <c r="F26">
        <v>0</v>
      </c>
      <c r="G26">
        <v>0</v>
      </c>
      <c r="H26" s="1">
        <v>307545691</v>
      </c>
    </row>
    <row r="27" spans="1:8" x14ac:dyDescent="0.35">
      <c r="A27" t="s">
        <v>100</v>
      </c>
      <c r="B27" s="1">
        <v>0</v>
      </c>
      <c r="C27" s="1">
        <v>0</v>
      </c>
      <c r="D27" s="1">
        <v>0</v>
      </c>
      <c r="E27">
        <v>0</v>
      </c>
      <c r="F27">
        <v>0</v>
      </c>
      <c r="G27">
        <v>0</v>
      </c>
      <c r="H27" s="1">
        <v>0</v>
      </c>
    </row>
    <row r="28" spans="1:8" x14ac:dyDescent="0.35">
      <c r="A28" t="s">
        <v>103</v>
      </c>
      <c r="B28" s="1">
        <v>4207312750</v>
      </c>
      <c r="C28" s="1">
        <v>4207312750</v>
      </c>
      <c r="D28" s="1">
        <v>0</v>
      </c>
      <c r="E28">
        <v>0</v>
      </c>
      <c r="F28">
        <v>0</v>
      </c>
      <c r="G28">
        <v>0</v>
      </c>
      <c r="H28" s="1">
        <v>4207312750</v>
      </c>
    </row>
    <row r="29" spans="1:8" x14ac:dyDescent="0.35">
      <c r="A29" t="s">
        <v>106</v>
      </c>
      <c r="B29" s="1">
        <v>4962100000</v>
      </c>
      <c r="C29" s="1">
        <v>0</v>
      </c>
      <c r="D29" s="1">
        <v>4962100000</v>
      </c>
      <c r="E29">
        <v>0</v>
      </c>
      <c r="F29">
        <v>0</v>
      </c>
      <c r="G29">
        <v>0</v>
      </c>
      <c r="H29" s="1">
        <v>4962100000</v>
      </c>
    </row>
    <row r="30" spans="1:8" x14ac:dyDescent="0.35">
      <c r="A30" t="s">
        <v>109</v>
      </c>
      <c r="B30" s="1">
        <v>0</v>
      </c>
      <c r="C30" s="1">
        <v>0</v>
      </c>
      <c r="D30" s="1">
        <v>0</v>
      </c>
      <c r="E30">
        <v>0</v>
      </c>
      <c r="F30">
        <v>0</v>
      </c>
      <c r="G30">
        <v>0</v>
      </c>
      <c r="H30" s="1">
        <v>0</v>
      </c>
    </row>
    <row r="31" spans="1:8" x14ac:dyDescent="0.35">
      <c r="A31" t="s">
        <v>112</v>
      </c>
      <c r="B31" s="1">
        <v>2800000</v>
      </c>
      <c r="C31" s="1">
        <v>2700000</v>
      </c>
      <c r="D31" s="1">
        <v>0</v>
      </c>
      <c r="E31">
        <v>100000</v>
      </c>
      <c r="F31">
        <v>0</v>
      </c>
      <c r="G31">
        <v>0</v>
      </c>
      <c r="H31" s="1">
        <v>2700000</v>
      </c>
    </row>
    <row r="32" spans="1:8" x14ac:dyDescent="0.35">
      <c r="A32" t="s">
        <v>115</v>
      </c>
      <c r="B32" s="1">
        <v>194025092</v>
      </c>
      <c r="C32" s="1">
        <v>194025092</v>
      </c>
      <c r="D32" s="1">
        <v>0</v>
      </c>
      <c r="E32">
        <v>0</v>
      </c>
      <c r="F32">
        <v>0</v>
      </c>
      <c r="G32">
        <v>0</v>
      </c>
      <c r="H32" s="1">
        <v>194025092</v>
      </c>
    </row>
    <row r="33" spans="1:8" x14ac:dyDescent="0.35">
      <c r="A33" t="s">
        <v>118</v>
      </c>
      <c r="B33" s="1">
        <v>0</v>
      </c>
      <c r="C33" s="1">
        <v>0</v>
      </c>
      <c r="D33" s="1">
        <v>0</v>
      </c>
      <c r="E33">
        <v>0</v>
      </c>
      <c r="F33">
        <v>0</v>
      </c>
      <c r="G33">
        <v>0</v>
      </c>
      <c r="H33" s="1">
        <v>0</v>
      </c>
    </row>
    <row r="34" spans="1:8" x14ac:dyDescent="0.35">
      <c r="A34" t="s">
        <v>121</v>
      </c>
      <c r="B34" s="1">
        <v>224881217</v>
      </c>
      <c r="C34" s="1">
        <v>224881217</v>
      </c>
      <c r="D34" s="1">
        <v>0</v>
      </c>
      <c r="E34">
        <v>0</v>
      </c>
      <c r="F34">
        <v>0</v>
      </c>
      <c r="G34">
        <v>0</v>
      </c>
      <c r="H34" s="1">
        <v>224881217</v>
      </c>
    </row>
    <row r="35" spans="1:8" x14ac:dyDescent="0.35">
      <c r="A35" t="s">
        <v>124</v>
      </c>
      <c r="B35" s="1">
        <v>110366531</v>
      </c>
      <c r="C35" s="1">
        <v>110366531</v>
      </c>
      <c r="D35" s="1">
        <v>0</v>
      </c>
      <c r="E35">
        <v>0</v>
      </c>
      <c r="F35">
        <v>0</v>
      </c>
      <c r="G35">
        <v>0</v>
      </c>
      <c r="H35" s="1">
        <v>88043881</v>
      </c>
    </row>
    <row r="36" spans="1:8" x14ac:dyDescent="0.35">
      <c r="A36" t="s">
        <v>127</v>
      </c>
      <c r="B36" s="1">
        <v>0</v>
      </c>
      <c r="C36" s="1">
        <v>0</v>
      </c>
      <c r="D36" s="1">
        <v>0</v>
      </c>
      <c r="E36">
        <v>0</v>
      </c>
      <c r="F36">
        <v>0</v>
      </c>
      <c r="G36">
        <v>0</v>
      </c>
      <c r="H36" s="1">
        <v>0</v>
      </c>
    </row>
    <row r="37" spans="1:8" x14ac:dyDescent="0.35">
      <c r="A37" t="s">
        <v>130</v>
      </c>
      <c r="B37" s="1">
        <v>5400000</v>
      </c>
      <c r="C37" s="1">
        <v>5400000</v>
      </c>
      <c r="D37" s="1">
        <v>0</v>
      </c>
      <c r="E37">
        <v>0</v>
      </c>
      <c r="F37">
        <v>0</v>
      </c>
      <c r="G37">
        <v>0</v>
      </c>
      <c r="H37" s="1">
        <v>5400000</v>
      </c>
    </row>
    <row r="38" spans="1:8" x14ac:dyDescent="0.35">
      <c r="A38" t="s">
        <v>133</v>
      </c>
      <c r="B38" s="1">
        <v>30000000</v>
      </c>
      <c r="C38" s="1">
        <v>30000000</v>
      </c>
      <c r="D38" s="1">
        <v>0</v>
      </c>
      <c r="E38">
        <v>0</v>
      </c>
      <c r="F38">
        <v>0</v>
      </c>
      <c r="G38">
        <v>0</v>
      </c>
      <c r="H38" s="1">
        <v>30000000</v>
      </c>
    </row>
    <row r="39" spans="1:8" x14ac:dyDescent="0.35">
      <c r="A39" t="s">
        <v>139</v>
      </c>
      <c r="B39" s="1">
        <v>0</v>
      </c>
      <c r="C39" s="1">
        <v>0</v>
      </c>
      <c r="D39" s="1">
        <v>0</v>
      </c>
      <c r="E39">
        <v>0</v>
      </c>
      <c r="F39">
        <v>0</v>
      </c>
      <c r="G39">
        <v>0</v>
      </c>
      <c r="H39" s="1">
        <v>0</v>
      </c>
    </row>
    <row r="40" spans="1:8" x14ac:dyDescent="0.35">
      <c r="A40" t="s">
        <v>1271</v>
      </c>
      <c r="B40" s="1">
        <v>2576321000</v>
      </c>
      <c r="C40" s="1">
        <v>1975171000</v>
      </c>
      <c r="D40" s="1">
        <v>601150000</v>
      </c>
      <c r="E40">
        <v>0</v>
      </c>
      <c r="F40">
        <v>0</v>
      </c>
      <c r="G40">
        <v>0</v>
      </c>
      <c r="H40" s="1">
        <v>2491321000</v>
      </c>
    </row>
    <row r="41" spans="1:8" x14ac:dyDescent="0.35">
      <c r="A41" t="s">
        <v>145</v>
      </c>
      <c r="B41" s="1">
        <v>468116057</v>
      </c>
      <c r="C41" s="1">
        <v>468116057</v>
      </c>
      <c r="D41" s="1">
        <v>0</v>
      </c>
      <c r="E41">
        <v>0</v>
      </c>
      <c r="F41">
        <v>0</v>
      </c>
      <c r="G41">
        <v>0</v>
      </c>
      <c r="H41" s="1">
        <v>469980138</v>
      </c>
    </row>
    <row r="42" spans="1:8" x14ac:dyDescent="0.35">
      <c r="A42" t="s">
        <v>148</v>
      </c>
      <c r="B42" s="1">
        <v>21000000</v>
      </c>
      <c r="C42" s="1">
        <v>21000000</v>
      </c>
      <c r="D42" s="1">
        <v>0</v>
      </c>
      <c r="E42">
        <v>0</v>
      </c>
      <c r="F42">
        <v>0</v>
      </c>
      <c r="G42">
        <v>0</v>
      </c>
      <c r="H42" s="1">
        <v>21000000</v>
      </c>
    </row>
    <row r="43" spans="1:8" x14ac:dyDescent="0.35">
      <c r="A43" t="s">
        <v>151</v>
      </c>
      <c r="B43" s="1">
        <v>19113000</v>
      </c>
      <c r="C43" s="1">
        <v>5713000</v>
      </c>
      <c r="D43" s="1">
        <v>13400000</v>
      </c>
      <c r="E43">
        <v>0</v>
      </c>
      <c r="F43">
        <v>0</v>
      </c>
      <c r="G43">
        <v>0</v>
      </c>
      <c r="H43" s="1">
        <v>19113000</v>
      </c>
    </row>
    <row r="44" spans="1:8" x14ac:dyDescent="0.35">
      <c r="A44" t="s">
        <v>154</v>
      </c>
      <c r="B44" s="1">
        <v>758067125</v>
      </c>
      <c r="C44" s="1">
        <v>497067125</v>
      </c>
      <c r="D44" s="1">
        <v>261000000</v>
      </c>
      <c r="E44">
        <v>0</v>
      </c>
      <c r="F44">
        <v>0</v>
      </c>
      <c r="G44">
        <v>0</v>
      </c>
      <c r="H44" s="1">
        <v>758068010</v>
      </c>
    </row>
    <row r="45" spans="1:8" x14ac:dyDescent="0.35">
      <c r="A45" t="s">
        <v>157</v>
      </c>
      <c r="B45" s="1">
        <v>8645100</v>
      </c>
      <c r="C45" s="1">
        <v>2285000</v>
      </c>
      <c r="D45" s="1">
        <v>6360100</v>
      </c>
      <c r="E45">
        <v>0</v>
      </c>
      <c r="F45">
        <v>0</v>
      </c>
      <c r="G45">
        <v>0</v>
      </c>
      <c r="H45" s="1">
        <v>8645100</v>
      </c>
    </row>
    <row r="46" spans="1:8" x14ac:dyDescent="0.35">
      <c r="A46" t="s">
        <v>160</v>
      </c>
      <c r="B46" s="1">
        <v>66800000</v>
      </c>
      <c r="C46" s="1">
        <v>66800000</v>
      </c>
      <c r="D46" s="1">
        <v>0</v>
      </c>
      <c r="E46">
        <v>0</v>
      </c>
      <c r="F46">
        <v>0</v>
      </c>
      <c r="G46">
        <v>0</v>
      </c>
      <c r="H46" s="1">
        <v>66800000</v>
      </c>
    </row>
    <row r="47" spans="1:8" x14ac:dyDescent="0.35">
      <c r="A47" t="s">
        <v>163</v>
      </c>
      <c r="B47" s="1">
        <v>20400000</v>
      </c>
      <c r="C47" s="1">
        <v>1500000</v>
      </c>
      <c r="D47" s="1">
        <v>18900000</v>
      </c>
      <c r="E47">
        <v>0</v>
      </c>
      <c r="F47">
        <v>0</v>
      </c>
      <c r="G47">
        <v>0</v>
      </c>
      <c r="H47" s="1">
        <v>20450000</v>
      </c>
    </row>
    <row r="48" spans="1:8" x14ac:dyDescent="0.35">
      <c r="A48" t="s">
        <v>166</v>
      </c>
      <c r="B48" s="1">
        <v>14500000</v>
      </c>
      <c r="C48" s="1">
        <v>0</v>
      </c>
      <c r="D48" s="1">
        <v>14500000</v>
      </c>
      <c r="E48">
        <v>0</v>
      </c>
      <c r="F48">
        <v>0</v>
      </c>
      <c r="G48">
        <v>0</v>
      </c>
      <c r="H48" s="1">
        <v>14500000</v>
      </c>
    </row>
    <row r="49" spans="1:8" x14ac:dyDescent="0.35">
      <c r="A49" t="s">
        <v>169</v>
      </c>
      <c r="B49" s="1">
        <v>62955000</v>
      </c>
      <c r="C49" s="1">
        <v>62955000</v>
      </c>
      <c r="D49" s="1">
        <v>0</v>
      </c>
      <c r="E49">
        <v>0</v>
      </c>
      <c r="F49">
        <v>0</v>
      </c>
      <c r="G49">
        <v>0</v>
      </c>
      <c r="H49" s="1">
        <v>62955000</v>
      </c>
    </row>
    <row r="50" spans="1:8" x14ac:dyDescent="0.35">
      <c r="A50" t="s">
        <v>172</v>
      </c>
      <c r="B50" s="1">
        <v>1353800</v>
      </c>
      <c r="C50" s="1">
        <v>1353800</v>
      </c>
      <c r="D50" s="1">
        <v>0</v>
      </c>
      <c r="E50">
        <v>0</v>
      </c>
      <c r="F50">
        <v>0</v>
      </c>
      <c r="G50">
        <v>0</v>
      </c>
      <c r="H50" s="1">
        <v>1353800</v>
      </c>
    </row>
    <row r="51" spans="1:8" x14ac:dyDescent="0.35">
      <c r="A51" t="s">
        <v>175</v>
      </c>
      <c r="B51" s="1">
        <v>700000</v>
      </c>
      <c r="C51" s="1">
        <v>0</v>
      </c>
      <c r="D51" s="1">
        <v>700000</v>
      </c>
      <c r="E51">
        <v>0</v>
      </c>
      <c r="F51">
        <v>0</v>
      </c>
      <c r="G51">
        <v>0</v>
      </c>
      <c r="H51" s="1">
        <v>700000</v>
      </c>
    </row>
    <row r="52" spans="1:8" x14ac:dyDescent="0.35">
      <c r="A52" t="s">
        <v>178</v>
      </c>
      <c r="B52" s="1">
        <v>80000000</v>
      </c>
      <c r="C52" s="1">
        <v>80000000</v>
      </c>
      <c r="D52" s="1">
        <v>0</v>
      </c>
      <c r="E52">
        <v>0</v>
      </c>
      <c r="F52">
        <v>0</v>
      </c>
      <c r="G52">
        <v>0</v>
      </c>
      <c r="H52" s="1">
        <v>80000000</v>
      </c>
    </row>
    <row r="53" spans="1:8" x14ac:dyDescent="0.35">
      <c r="A53" t="s">
        <v>184</v>
      </c>
      <c r="B53" s="1">
        <v>20500000</v>
      </c>
      <c r="C53" s="1">
        <v>20500000</v>
      </c>
      <c r="D53" s="1">
        <v>0</v>
      </c>
      <c r="E53">
        <v>0</v>
      </c>
      <c r="F53">
        <v>0</v>
      </c>
      <c r="G53">
        <v>0</v>
      </c>
      <c r="H53" s="1">
        <v>20500000</v>
      </c>
    </row>
    <row r="54" spans="1:8" x14ac:dyDescent="0.35">
      <c r="A54" t="s">
        <v>187</v>
      </c>
      <c r="B54" s="1">
        <v>873800000</v>
      </c>
      <c r="C54" s="1">
        <v>848800000</v>
      </c>
      <c r="D54" s="1">
        <v>25000000</v>
      </c>
      <c r="E54">
        <v>0</v>
      </c>
      <c r="F54">
        <v>0</v>
      </c>
      <c r="G54">
        <v>0</v>
      </c>
      <c r="H54" s="1">
        <v>432800000</v>
      </c>
    </row>
    <row r="55" spans="1:8" x14ac:dyDescent="0.35">
      <c r="A55" t="s">
        <v>190</v>
      </c>
      <c r="B55" s="1">
        <v>104465000</v>
      </c>
      <c r="C55" s="1">
        <v>65200000</v>
      </c>
      <c r="D55" s="1">
        <v>39265000</v>
      </c>
      <c r="E55">
        <v>0</v>
      </c>
      <c r="F55">
        <v>0</v>
      </c>
      <c r="G55">
        <v>0</v>
      </c>
      <c r="H55" s="1">
        <v>104465000</v>
      </c>
    </row>
    <row r="56" spans="1:8" x14ac:dyDescent="0.35">
      <c r="A56" t="s">
        <v>193</v>
      </c>
      <c r="B56" s="1">
        <v>1613800465</v>
      </c>
      <c r="C56" s="1">
        <v>155</v>
      </c>
      <c r="D56" s="1">
        <v>1613800310</v>
      </c>
      <c r="E56">
        <v>0</v>
      </c>
      <c r="F56">
        <v>0</v>
      </c>
      <c r="G56">
        <v>0</v>
      </c>
      <c r="H56" s="1">
        <v>155</v>
      </c>
    </row>
    <row r="57" spans="1:8" x14ac:dyDescent="0.35">
      <c r="A57" t="s">
        <v>196</v>
      </c>
      <c r="B57" s="1">
        <v>49830000</v>
      </c>
      <c r="C57" s="1">
        <v>43330000</v>
      </c>
      <c r="D57" s="1">
        <v>6500000</v>
      </c>
      <c r="E57">
        <v>0</v>
      </c>
      <c r="F57">
        <v>0</v>
      </c>
      <c r="G57">
        <v>0</v>
      </c>
      <c r="H57" s="1">
        <v>49830000</v>
      </c>
    </row>
    <row r="58" spans="1:8" x14ac:dyDescent="0.35">
      <c r="A58" t="s">
        <v>199</v>
      </c>
      <c r="B58" s="1">
        <v>127500000</v>
      </c>
      <c r="C58" s="1">
        <v>98800000</v>
      </c>
      <c r="D58" s="1">
        <v>28700000</v>
      </c>
      <c r="E58">
        <v>0</v>
      </c>
      <c r="F58">
        <v>0</v>
      </c>
      <c r="G58">
        <v>0</v>
      </c>
      <c r="H58" s="1">
        <v>127500000</v>
      </c>
    </row>
    <row r="59" spans="1:8" x14ac:dyDescent="0.35">
      <c r="A59" t="s">
        <v>202</v>
      </c>
      <c r="B59" s="1">
        <v>5755800000</v>
      </c>
      <c r="C59" s="1">
        <v>3449800000</v>
      </c>
      <c r="D59" s="1">
        <v>2306000000</v>
      </c>
      <c r="E59">
        <v>0</v>
      </c>
      <c r="F59">
        <v>0</v>
      </c>
      <c r="G59">
        <v>0</v>
      </c>
      <c r="H59" s="1">
        <v>5755853475</v>
      </c>
    </row>
    <row r="60" spans="1:8" x14ac:dyDescent="0.35">
      <c r="A60" t="s">
        <v>205</v>
      </c>
      <c r="B60" s="1">
        <v>100000</v>
      </c>
      <c r="C60" s="1">
        <v>100000</v>
      </c>
      <c r="D60" s="1">
        <v>0</v>
      </c>
      <c r="E60">
        <v>0</v>
      </c>
      <c r="F60">
        <v>0</v>
      </c>
      <c r="G60">
        <v>0</v>
      </c>
      <c r="H60" s="1">
        <v>100000</v>
      </c>
    </row>
    <row r="61" spans="1:8" x14ac:dyDescent="0.35">
      <c r="A61" t="s">
        <v>208</v>
      </c>
      <c r="B61" s="1">
        <v>40645000</v>
      </c>
      <c r="C61" s="1">
        <v>40645000</v>
      </c>
      <c r="D61" s="1">
        <v>0</v>
      </c>
      <c r="E61">
        <v>0</v>
      </c>
      <c r="F61">
        <v>0</v>
      </c>
      <c r="G61">
        <v>0</v>
      </c>
      <c r="H61" s="1">
        <v>40645000</v>
      </c>
    </row>
    <row r="62" spans="1:8" x14ac:dyDescent="0.35">
      <c r="A62" t="s">
        <v>211</v>
      </c>
      <c r="B62" s="1">
        <v>4263500000</v>
      </c>
      <c r="C62" s="1">
        <v>2119600000</v>
      </c>
      <c r="D62" s="1">
        <v>2143900000</v>
      </c>
      <c r="E62">
        <v>0</v>
      </c>
      <c r="F62">
        <v>0</v>
      </c>
      <c r="G62">
        <v>0</v>
      </c>
      <c r="H62" s="1">
        <v>4263500000</v>
      </c>
    </row>
    <row r="63" spans="1:8" x14ac:dyDescent="0.35">
      <c r="A63" t="s">
        <v>214</v>
      </c>
      <c r="B63" s="1">
        <v>4198700000</v>
      </c>
      <c r="C63" s="1">
        <v>1731000000</v>
      </c>
      <c r="D63" s="1">
        <v>2467700000</v>
      </c>
      <c r="E63">
        <v>0</v>
      </c>
      <c r="F63">
        <v>0</v>
      </c>
      <c r="G63">
        <v>0</v>
      </c>
      <c r="H63" s="1">
        <v>4198700000</v>
      </c>
    </row>
    <row r="64" spans="1:8" x14ac:dyDescent="0.35">
      <c r="A64" t="s">
        <v>217</v>
      </c>
      <c r="B64" s="1">
        <v>437100000</v>
      </c>
      <c r="C64" s="1">
        <v>0</v>
      </c>
      <c r="D64" s="1">
        <v>437100000</v>
      </c>
      <c r="E64">
        <v>0</v>
      </c>
      <c r="F64">
        <v>0</v>
      </c>
      <c r="G64">
        <v>0</v>
      </c>
      <c r="H64" s="1">
        <v>437100000</v>
      </c>
    </row>
    <row r="65" spans="1:8" x14ac:dyDescent="0.35">
      <c r="A65" t="s">
        <v>220</v>
      </c>
      <c r="B65" s="1">
        <v>254205000</v>
      </c>
      <c r="C65" s="1">
        <v>254205000</v>
      </c>
      <c r="D65" s="1">
        <v>0</v>
      </c>
      <c r="E65">
        <v>0</v>
      </c>
      <c r="F65">
        <v>0</v>
      </c>
      <c r="G65">
        <v>0</v>
      </c>
      <c r="H65" s="1">
        <v>254205000</v>
      </c>
    </row>
    <row r="66" spans="1:8" x14ac:dyDescent="0.35">
      <c r="A66" t="s">
        <v>223</v>
      </c>
      <c r="B66" s="1">
        <v>52250000</v>
      </c>
      <c r="C66" s="1">
        <v>52250000</v>
      </c>
      <c r="D66" s="1">
        <v>0</v>
      </c>
      <c r="E66">
        <v>0</v>
      </c>
      <c r="F66">
        <v>0</v>
      </c>
      <c r="G66">
        <v>0</v>
      </c>
      <c r="H66" s="1">
        <v>52250000</v>
      </c>
    </row>
    <row r="67" spans="1:8" x14ac:dyDescent="0.35">
      <c r="A67" t="s">
        <v>226</v>
      </c>
      <c r="B67" s="1">
        <v>29200000</v>
      </c>
      <c r="C67" s="1">
        <v>26450000</v>
      </c>
      <c r="D67" s="1">
        <v>2750000</v>
      </c>
      <c r="E67">
        <v>0</v>
      </c>
      <c r="F67">
        <v>0</v>
      </c>
      <c r="G67">
        <v>0</v>
      </c>
      <c r="H67" s="1">
        <v>26450000</v>
      </c>
    </row>
    <row r="68" spans="1:8" x14ac:dyDescent="0.35">
      <c r="A68" t="s">
        <v>229</v>
      </c>
      <c r="B68" s="1">
        <v>2588000</v>
      </c>
      <c r="C68" s="1">
        <v>88000</v>
      </c>
      <c r="D68" s="1">
        <v>2500000</v>
      </c>
      <c r="E68">
        <v>0</v>
      </c>
      <c r="F68">
        <v>0</v>
      </c>
      <c r="G68">
        <v>0</v>
      </c>
      <c r="H68" s="1">
        <v>2588000</v>
      </c>
    </row>
    <row r="69" spans="1:8" x14ac:dyDescent="0.35">
      <c r="A69" t="s">
        <v>232</v>
      </c>
      <c r="B69" s="1">
        <v>9364895</v>
      </c>
      <c r="C69" s="1">
        <v>0</v>
      </c>
      <c r="D69" s="1">
        <v>9364895</v>
      </c>
      <c r="E69">
        <v>0</v>
      </c>
      <c r="F69">
        <v>0</v>
      </c>
      <c r="G69">
        <v>0</v>
      </c>
      <c r="H69" s="1">
        <v>9364895</v>
      </c>
    </row>
    <row r="70" spans="1:8" x14ac:dyDescent="0.35">
      <c r="A70" t="s">
        <v>235</v>
      </c>
      <c r="B70" s="1">
        <v>93600000</v>
      </c>
      <c r="C70" s="1">
        <v>23300000</v>
      </c>
      <c r="D70" s="1">
        <v>70300000</v>
      </c>
      <c r="E70">
        <v>0</v>
      </c>
      <c r="F70">
        <v>0</v>
      </c>
      <c r="G70">
        <v>0</v>
      </c>
      <c r="H70" s="1">
        <v>70300000</v>
      </c>
    </row>
    <row r="71" spans="1:8" x14ac:dyDescent="0.35">
      <c r="A71" t="s">
        <v>238</v>
      </c>
      <c r="B71" s="1">
        <v>187600000</v>
      </c>
      <c r="C71" s="1">
        <v>187600000</v>
      </c>
      <c r="D71" s="1">
        <v>0</v>
      </c>
      <c r="E71">
        <v>0</v>
      </c>
      <c r="F71">
        <v>0</v>
      </c>
      <c r="G71">
        <v>0</v>
      </c>
      <c r="H71" s="1">
        <v>82800000</v>
      </c>
    </row>
    <row r="72" spans="1:8" x14ac:dyDescent="0.35">
      <c r="A72" t="s">
        <v>244</v>
      </c>
      <c r="B72" s="1">
        <v>129821000</v>
      </c>
      <c r="C72" s="1">
        <v>74826000</v>
      </c>
      <c r="D72" s="1">
        <v>54995000</v>
      </c>
      <c r="E72">
        <v>0</v>
      </c>
      <c r="F72">
        <v>0</v>
      </c>
      <c r="G72">
        <v>0</v>
      </c>
      <c r="H72" s="1">
        <v>129821000</v>
      </c>
    </row>
    <row r="73" spans="1:8" x14ac:dyDescent="0.35">
      <c r="A73" t="s">
        <v>247</v>
      </c>
      <c r="B73" s="1">
        <v>0</v>
      </c>
      <c r="C73" s="1">
        <v>0</v>
      </c>
      <c r="D73" s="1">
        <v>0</v>
      </c>
      <c r="E73">
        <v>0</v>
      </c>
      <c r="F73">
        <v>0</v>
      </c>
      <c r="G73">
        <v>0</v>
      </c>
      <c r="H73" s="1">
        <v>9000000</v>
      </c>
    </row>
    <row r="74" spans="1:8" x14ac:dyDescent="0.35">
      <c r="A74" t="s">
        <v>250</v>
      </c>
      <c r="B74" s="1">
        <v>2722040616</v>
      </c>
      <c r="C74" s="1">
        <v>1701390616</v>
      </c>
      <c r="D74" s="1">
        <v>1020650000</v>
      </c>
      <c r="E74">
        <v>0</v>
      </c>
      <c r="F74">
        <v>0</v>
      </c>
      <c r="G74">
        <v>0</v>
      </c>
      <c r="H74" s="1">
        <v>2011390616</v>
      </c>
    </row>
    <row r="75" spans="1:8" x14ac:dyDescent="0.35">
      <c r="A75" t="s">
        <v>253</v>
      </c>
      <c r="B75" s="1">
        <v>681116786</v>
      </c>
      <c r="C75" s="1">
        <v>681116786</v>
      </c>
      <c r="D75" s="1">
        <v>0</v>
      </c>
      <c r="E75">
        <v>0</v>
      </c>
      <c r="F75">
        <v>0</v>
      </c>
      <c r="G75">
        <v>0</v>
      </c>
      <c r="H75" s="1">
        <v>681116786</v>
      </c>
    </row>
    <row r="76" spans="1:8" x14ac:dyDescent="0.35">
      <c r="A76" t="s">
        <v>256</v>
      </c>
      <c r="B76" s="1">
        <v>180527000</v>
      </c>
      <c r="C76" s="1">
        <v>180527000</v>
      </c>
      <c r="D76" s="1">
        <v>0</v>
      </c>
      <c r="E76">
        <v>0</v>
      </c>
      <c r="F76">
        <v>0</v>
      </c>
      <c r="G76">
        <v>0</v>
      </c>
      <c r="H76" s="1">
        <v>176227000</v>
      </c>
    </row>
    <row r="77" spans="1:8" x14ac:dyDescent="0.35">
      <c r="A77" t="s">
        <v>259</v>
      </c>
      <c r="B77" s="1">
        <v>0</v>
      </c>
      <c r="C77" s="1">
        <v>0</v>
      </c>
      <c r="D77" s="1">
        <v>0</v>
      </c>
      <c r="E77">
        <v>0</v>
      </c>
      <c r="F77">
        <v>0</v>
      </c>
      <c r="G77">
        <v>0</v>
      </c>
      <c r="H77" s="1">
        <v>6786213</v>
      </c>
    </row>
    <row r="78" spans="1:8" x14ac:dyDescent="0.35">
      <c r="A78" t="s">
        <v>262</v>
      </c>
      <c r="B78" s="1">
        <v>443062000</v>
      </c>
      <c r="C78" s="1">
        <v>227005000</v>
      </c>
      <c r="D78" s="1">
        <v>216057000</v>
      </c>
      <c r="E78">
        <v>0</v>
      </c>
      <c r="F78">
        <v>0</v>
      </c>
      <c r="G78">
        <v>0</v>
      </c>
      <c r="H78" s="1">
        <v>442062000</v>
      </c>
    </row>
    <row r="79" spans="1:8" x14ac:dyDescent="0.35">
      <c r="A79" t="s">
        <v>265</v>
      </c>
      <c r="B79" s="1">
        <v>1535600000</v>
      </c>
      <c r="C79" s="1">
        <v>1356600000</v>
      </c>
      <c r="D79" s="1">
        <v>179000000</v>
      </c>
      <c r="E79">
        <v>0</v>
      </c>
      <c r="F79">
        <v>0</v>
      </c>
      <c r="G79">
        <v>0</v>
      </c>
      <c r="H79" s="1">
        <v>1566600000</v>
      </c>
    </row>
    <row r="80" spans="1:8" x14ac:dyDescent="0.35">
      <c r="A80" t="s">
        <v>268</v>
      </c>
      <c r="B80" s="1">
        <v>16180000</v>
      </c>
      <c r="C80" s="1">
        <v>16180000</v>
      </c>
      <c r="D80" s="1">
        <v>0</v>
      </c>
      <c r="E80">
        <v>0</v>
      </c>
      <c r="F80">
        <v>0</v>
      </c>
      <c r="G80">
        <v>0</v>
      </c>
      <c r="H80" s="1">
        <v>16180000</v>
      </c>
    </row>
    <row r="81" spans="1:8" x14ac:dyDescent="0.35">
      <c r="A81" t="s">
        <v>271</v>
      </c>
      <c r="B81" s="1">
        <v>94100006</v>
      </c>
      <c r="C81" s="1">
        <v>94100006</v>
      </c>
      <c r="D81" s="1">
        <v>0</v>
      </c>
      <c r="E81">
        <v>0</v>
      </c>
      <c r="F81">
        <v>0</v>
      </c>
      <c r="G81">
        <v>0</v>
      </c>
      <c r="H81" s="1">
        <v>94100000</v>
      </c>
    </row>
    <row r="82" spans="1:8" x14ac:dyDescent="0.35">
      <c r="A82" t="s">
        <v>274</v>
      </c>
      <c r="B82" s="1">
        <v>2855912771</v>
      </c>
      <c r="C82" s="1">
        <v>0</v>
      </c>
      <c r="D82" s="1">
        <v>2855912771</v>
      </c>
      <c r="E82">
        <v>0</v>
      </c>
      <c r="F82">
        <v>0</v>
      </c>
      <c r="G82">
        <v>0</v>
      </c>
      <c r="H82" s="1">
        <v>2855912771</v>
      </c>
    </row>
    <row r="83" spans="1:8" x14ac:dyDescent="0.35">
      <c r="A83" t="s">
        <v>277</v>
      </c>
      <c r="B83" s="1">
        <v>1174432</v>
      </c>
      <c r="C83" s="1">
        <v>1174432</v>
      </c>
      <c r="D83" s="1">
        <v>0</v>
      </c>
      <c r="E83">
        <v>0</v>
      </c>
      <c r="F83">
        <v>0</v>
      </c>
      <c r="G83">
        <v>0</v>
      </c>
      <c r="H83" s="1">
        <v>1174432</v>
      </c>
    </row>
    <row r="84" spans="1:8" x14ac:dyDescent="0.35">
      <c r="A84" t="s">
        <v>280</v>
      </c>
      <c r="B84" s="1">
        <v>1022013</v>
      </c>
      <c r="C84" s="1">
        <v>1022013</v>
      </c>
      <c r="D84" s="1">
        <v>0</v>
      </c>
      <c r="E84">
        <v>0</v>
      </c>
      <c r="F84">
        <v>0</v>
      </c>
      <c r="G84">
        <v>0</v>
      </c>
      <c r="H84" s="1">
        <v>1022013</v>
      </c>
    </row>
    <row r="85" spans="1:8" x14ac:dyDescent="0.35">
      <c r="A85" t="s">
        <v>283</v>
      </c>
      <c r="B85" s="1">
        <v>0</v>
      </c>
      <c r="C85" s="1">
        <v>0</v>
      </c>
      <c r="D85" s="1">
        <v>0</v>
      </c>
      <c r="E85">
        <v>0</v>
      </c>
      <c r="F85">
        <v>0</v>
      </c>
      <c r="G85">
        <v>0</v>
      </c>
      <c r="H85" s="1">
        <v>0</v>
      </c>
    </row>
    <row r="86" spans="1:8" x14ac:dyDescent="0.35">
      <c r="A86" t="s">
        <v>286</v>
      </c>
      <c r="B86" s="1">
        <v>7404000</v>
      </c>
      <c r="C86" s="1">
        <v>7404000</v>
      </c>
      <c r="D86" s="1">
        <v>0</v>
      </c>
      <c r="E86">
        <v>0</v>
      </c>
      <c r="F86">
        <v>0</v>
      </c>
      <c r="G86">
        <v>0</v>
      </c>
      <c r="H86" s="1">
        <v>250000000</v>
      </c>
    </row>
    <row r="87" spans="1:8" x14ac:dyDescent="0.35">
      <c r="A87" t="s">
        <v>289</v>
      </c>
      <c r="B87" s="1">
        <v>4500000</v>
      </c>
      <c r="C87" s="1">
        <v>4500000</v>
      </c>
      <c r="D87" s="1">
        <v>0</v>
      </c>
      <c r="E87">
        <v>0</v>
      </c>
      <c r="F87">
        <v>0</v>
      </c>
      <c r="G87">
        <v>0</v>
      </c>
      <c r="H87" s="1">
        <v>4500000</v>
      </c>
    </row>
    <row r="88" spans="1:8" x14ac:dyDescent="0.35">
      <c r="A88" t="s">
        <v>295</v>
      </c>
      <c r="B88" s="1">
        <v>1040646</v>
      </c>
      <c r="C88" s="1">
        <v>1040646</v>
      </c>
      <c r="D88" s="1">
        <v>0</v>
      </c>
      <c r="E88">
        <v>0</v>
      </c>
      <c r="F88">
        <v>0</v>
      </c>
      <c r="G88">
        <v>0</v>
      </c>
      <c r="H88" s="1">
        <v>1040646</v>
      </c>
    </row>
    <row r="89" spans="1:8" x14ac:dyDescent="0.35">
      <c r="A89" t="s">
        <v>298</v>
      </c>
      <c r="B89" s="1">
        <v>0</v>
      </c>
      <c r="C89" s="1">
        <v>0</v>
      </c>
      <c r="D89" s="1">
        <v>0</v>
      </c>
      <c r="E89">
        <v>0</v>
      </c>
      <c r="F89">
        <v>0</v>
      </c>
      <c r="G89">
        <v>0</v>
      </c>
      <c r="H89" s="1">
        <v>0</v>
      </c>
    </row>
    <row r="90" spans="1:8" x14ac:dyDescent="0.35">
      <c r="A90" t="s">
        <v>301</v>
      </c>
      <c r="B90" s="1">
        <v>0</v>
      </c>
      <c r="C90" s="1">
        <v>0</v>
      </c>
      <c r="D90" s="1">
        <v>0</v>
      </c>
      <c r="E90">
        <v>0</v>
      </c>
      <c r="F90">
        <v>0</v>
      </c>
      <c r="G90">
        <v>0</v>
      </c>
      <c r="H90" s="1">
        <v>0</v>
      </c>
    </row>
    <row r="91" spans="1:8" x14ac:dyDescent="0.35">
      <c r="A91" t="s">
        <v>304</v>
      </c>
      <c r="B91" s="1">
        <v>0</v>
      </c>
      <c r="C91" s="1">
        <v>0</v>
      </c>
      <c r="D91" s="1">
        <v>0</v>
      </c>
      <c r="E91">
        <v>0</v>
      </c>
      <c r="F91">
        <v>0</v>
      </c>
      <c r="G91">
        <v>0</v>
      </c>
      <c r="H91" s="1">
        <v>0</v>
      </c>
    </row>
    <row r="92" spans="1:8" x14ac:dyDescent="0.35">
      <c r="A92" t="s">
        <v>307</v>
      </c>
      <c r="B92" s="1">
        <v>0</v>
      </c>
      <c r="C92" s="1">
        <v>0</v>
      </c>
      <c r="D92" s="1">
        <v>0</v>
      </c>
      <c r="E92">
        <v>0</v>
      </c>
      <c r="F92">
        <v>0</v>
      </c>
      <c r="G92">
        <v>0</v>
      </c>
      <c r="H92" s="1">
        <v>0</v>
      </c>
    </row>
    <row r="93" spans="1:8" x14ac:dyDescent="0.35">
      <c r="A93" t="s">
        <v>310</v>
      </c>
      <c r="B93" s="1">
        <v>0</v>
      </c>
      <c r="C93" s="1">
        <v>0</v>
      </c>
      <c r="D93" s="1">
        <v>0</v>
      </c>
      <c r="E93">
        <v>0</v>
      </c>
      <c r="F93">
        <v>0</v>
      </c>
      <c r="G93">
        <v>0</v>
      </c>
      <c r="H93" s="1">
        <v>0</v>
      </c>
    </row>
    <row r="94" spans="1:8" x14ac:dyDescent="0.35">
      <c r="A94" t="s">
        <v>312</v>
      </c>
      <c r="B94" s="1">
        <v>0</v>
      </c>
      <c r="C94" s="1">
        <v>0</v>
      </c>
      <c r="D94" s="1">
        <v>0</v>
      </c>
      <c r="E94">
        <v>0</v>
      </c>
      <c r="F94">
        <v>0</v>
      </c>
      <c r="G94">
        <v>0</v>
      </c>
      <c r="H94" s="1">
        <v>0</v>
      </c>
    </row>
    <row r="95" spans="1:8" x14ac:dyDescent="0.35">
      <c r="A95" t="s">
        <v>323</v>
      </c>
      <c r="B95" s="1">
        <v>0</v>
      </c>
      <c r="C95" s="1">
        <v>0</v>
      </c>
      <c r="D95" s="1">
        <v>0</v>
      </c>
      <c r="E95">
        <v>0</v>
      </c>
      <c r="F95">
        <v>0</v>
      </c>
      <c r="G95">
        <v>0</v>
      </c>
      <c r="H95" s="1">
        <v>0</v>
      </c>
    </row>
    <row r="96" spans="1:8" x14ac:dyDescent="0.35">
      <c r="A96" t="s">
        <v>326</v>
      </c>
      <c r="B96" s="1">
        <v>0</v>
      </c>
      <c r="C96" s="1">
        <v>0</v>
      </c>
      <c r="D96" s="1">
        <v>0</v>
      </c>
      <c r="E96">
        <v>0</v>
      </c>
      <c r="F96">
        <v>0</v>
      </c>
      <c r="G96">
        <v>0</v>
      </c>
      <c r="H96" s="1">
        <v>0</v>
      </c>
    </row>
    <row r="97" spans="1:8" x14ac:dyDescent="0.35">
      <c r="A97" t="s">
        <v>329</v>
      </c>
      <c r="B97" s="1">
        <v>0</v>
      </c>
      <c r="C97" s="1">
        <v>0</v>
      </c>
      <c r="D97" s="1">
        <v>0</v>
      </c>
      <c r="E97">
        <v>0</v>
      </c>
      <c r="F97">
        <v>0</v>
      </c>
      <c r="G97">
        <v>0</v>
      </c>
      <c r="H97" s="1">
        <v>0</v>
      </c>
    </row>
    <row r="98" spans="1:8" x14ac:dyDescent="0.35">
      <c r="A98" t="s">
        <v>332</v>
      </c>
      <c r="B98" s="1">
        <v>0</v>
      </c>
      <c r="C98" s="1">
        <v>0</v>
      </c>
      <c r="D98" s="1">
        <v>0</v>
      </c>
      <c r="E98">
        <v>0</v>
      </c>
      <c r="F98">
        <v>0</v>
      </c>
      <c r="G98">
        <v>0</v>
      </c>
      <c r="H98" s="1">
        <v>0</v>
      </c>
    </row>
    <row r="99" spans="1:8" x14ac:dyDescent="0.35">
      <c r="A99" t="s">
        <v>335</v>
      </c>
      <c r="B99" s="1">
        <v>0</v>
      </c>
      <c r="C99" s="1">
        <v>0</v>
      </c>
      <c r="D99" s="1">
        <v>0</v>
      </c>
      <c r="E99">
        <v>0</v>
      </c>
      <c r="F99">
        <v>0</v>
      </c>
      <c r="G99">
        <v>0</v>
      </c>
      <c r="H99" s="1">
        <v>0</v>
      </c>
    </row>
    <row r="100" spans="1:8" x14ac:dyDescent="0.35">
      <c r="A100" t="s">
        <v>338</v>
      </c>
      <c r="B100" s="1">
        <v>0</v>
      </c>
      <c r="C100" s="1">
        <v>0</v>
      </c>
      <c r="D100" s="1">
        <v>0</v>
      </c>
      <c r="E100">
        <v>0</v>
      </c>
      <c r="F100">
        <v>0</v>
      </c>
      <c r="G100">
        <v>0</v>
      </c>
      <c r="H100" s="1">
        <v>0</v>
      </c>
    </row>
    <row r="101" spans="1:8" x14ac:dyDescent="0.35">
      <c r="A101" t="s">
        <v>341</v>
      </c>
      <c r="B101" s="1">
        <v>0</v>
      </c>
      <c r="C101" s="1">
        <v>0</v>
      </c>
      <c r="D101" s="1">
        <v>0</v>
      </c>
      <c r="E101">
        <v>0</v>
      </c>
      <c r="F101">
        <v>0</v>
      </c>
      <c r="G101">
        <v>0</v>
      </c>
      <c r="H101" s="1">
        <v>0</v>
      </c>
    </row>
    <row r="102" spans="1:8" x14ac:dyDescent="0.35">
      <c r="A102" t="s">
        <v>344</v>
      </c>
      <c r="B102" s="1">
        <v>0</v>
      </c>
      <c r="C102" s="1">
        <v>0</v>
      </c>
      <c r="D102" s="1">
        <v>0</v>
      </c>
      <c r="E102">
        <v>0</v>
      </c>
      <c r="F102">
        <v>0</v>
      </c>
      <c r="G102">
        <v>0</v>
      </c>
      <c r="H102" s="1">
        <v>0</v>
      </c>
    </row>
    <row r="103" spans="1:8" x14ac:dyDescent="0.35">
      <c r="A103" t="s">
        <v>353</v>
      </c>
      <c r="B103" s="1">
        <v>0</v>
      </c>
      <c r="C103" s="1">
        <v>0</v>
      </c>
      <c r="D103" s="1">
        <v>0</v>
      </c>
      <c r="E103">
        <v>0</v>
      </c>
      <c r="F103">
        <v>0</v>
      </c>
      <c r="G103">
        <v>0</v>
      </c>
      <c r="H103" s="1">
        <v>0</v>
      </c>
    </row>
    <row r="104" spans="1:8" x14ac:dyDescent="0.35">
      <c r="A104" t="s">
        <v>356</v>
      </c>
      <c r="B104" s="1">
        <v>0</v>
      </c>
      <c r="C104" s="1">
        <v>0</v>
      </c>
      <c r="D104" s="1">
        <v>0</v>
      </c>
      <c r="E104">
        <v>0</v>
      </c>
      <c r="F104">
        <v>0</v>
      </c>
      <c r="G104">
        <v>0</v>
      </c>
      <c r="H104" s="1">
        <v>0</v>
      </c>
    </row>
    <row r="105" spans="1:8" x14ac:dyDescent="0.35">
      <c r="A105" t="s">
        <v>359</v>
      </c>
      <c r="B105" s="1">
        <v>0</v>
      </c>
      <c r="C105" s="1">
        <v>0</v>
      </c>
      <c r="D105" s="1">
        <v>0</v>
      </c>
      <c r="E105">
        <v>0</v>
      </c>
      <c r="F105">
        <v>0</v>
      </c>
      <c r="G105">
        <v>0</v>
      </c>
      <c r="H105" s="1">
        <v>0</v>
      </c>
    </row>
    <row r="106" spans="1:8" x14ac:dyDescent="0.35">
      <c r="A106" t="s">
        <v>362</v>
      </c>
      <c r="B106" s="1">
        <v>0</v>
      </c>
      <c r="C106" s="1">
        <v>0</v>
      </c>
      <c r="D106" s="1">
        <v>0</v>
      </c>
      <c r="E106">
        <v>0</v>
      </c>
      <c r="F106">
        <v>0</v>
      </c>
      <c r="G106">
        <v>0</v>
      </c>
      <c r="H106" s="1">
        <v>0</v>
      </c>
    </row>
    <row r="107" spans="1:8" x14ac:dyDescent="0.35">
      <c r="A107" t="s">
        <v>365</v>
      </c>
      <c r="B107" s="1">
        <v>0</v>
      </c>
      <c r="C107" s="1">
        <v>0</v>
      </c>
      <c r="D107" s="1">
        <v>0</v>
      </c>
      <c r="E107">
        <v>0</v>
      </c>
      <c r="F107">
        <v>0</v>
      </c>
      <c r="G107">
        <v>0</v>
      </c>
      <c r="H107" s="1">
        <v>0</v>
      </c>
    </row>
    <row r="108" spans="1:8" x14ac:dyDescent="0.35">
      <c r="A108" t="s">
        <v>368</v>
      </c>
      <c r="B108" s="1">
        <v>0</v>
      </c>
      <c r="C108" s="1">
        <v>0</v>
      </c>
      <c r="D108" s="1">
        <v>0</v>
      </c>
      <c r="E108">
        <v>0</v>
      </c>
      <c r="F108">
        <v>0</v>
      </c>
      <c r="G108">
        <v>0</v>
      </c>
      <c r="H108" s="1">
        <v>0</v>
      </c>
    </row>
    <row r="109" spans="1:8" x14ac:dyDescent="0.35">
      <c r="A109" t="s">
        <v>371</v>
      </c>
      <c r="B109" s="1">
        <v>0</v>
      </c>
      <c r="C109" s="1">
        <v>0</v>
      </c>
      <c r="D109" s="1">
        <v>0</v>
      </c>
      <c r="E109">
        <v>0</v>
      </c>
      <c r="F109">
        <v>0</v>
      </c>
      <c r="G109">
        <v>0</v>
      </c>
      <c r="H109" s="1">
        <v>0</v>
      </c>
    </row>
    <row r="110" spans="1:8" x14ac:dyDescent="0.35">
      <c r="A110" t="s">
        <v>377</v>
      </c>
      <c r="B110" s="1">
        <v>0</v>
      </c>
      <c r="C110" s="1">
        <v>0</v>
      </c>
      <c r="D110" s="1">
        <v>0</v>
      </c>
      <c r="E110">
        <v>0</v>
      </c>
      <c r="F110">
        <v>0</v>
      </c>
      <c r="G110">
        <v>0</v>
      </c>
      <c r="H110" s="1">
        <v>0</v>
      </c>
    </row>
    <row r="111" spans="1:8" x14ac:dyDescent="0.35">
      <c r="A111" t="s">
        <v>380</v>
      </c>
      <c r="B111" s="1">
        <v>0</v>
      </c>
      <c r="C111" s="1">
        <v>0</v>
      </c>
      <c r="D111" s="1">
        <v>0</v>
      </c>
      <c r="E111">
        <v>0</v>
      </c>
      <c r="F111">
        <v>0</v>
      </c>
      <c r="G111">
        <v>0</v>
      </c>
      <c r="H111" s="1">
        <v>0</v>
      </c>
    </row>
    <row r="112" spans="1:8" x14ac:dyDescent="0.35">
      <c r="A112" t="s">
        <v>383</v>
      </c>
      <c r="B112" s="1">
        <v>0</v>
      </c>
      <c r="C112" s="1">
        <v>0</v>
      </c>
      <c r="D112" s="1">
        <v>0</v>
      </c>
      <c r="E112">
        <v>0</v>
      </c>
      <c r="F112">
        <v>0</v>
      </c>
      <c r="G112">
        <v>0</v>
      </c>
      <c r="H112" s="1">
        <v>0</v>
      </c>
    </row>
    <row r="113" spans="1:8" x14ac:dyDescent="0.35">
      <c r="A113" t="s">
        <v>386</v>
      </c>
      <c r="B113" s="1">
        <v>0</v>
      </c>
      <c r="C113" s="1">
        <v>0</v>
      </c>
      <c r="D113" s="1">
        <v>0</v>
      </c>
      <c r="E113">
        <v>0</v>
      </c>
      <c r="F113">
        <v>0</v>
      </c>
      <c r="G113">
        <v>0</v>
      </c>
      <c r="H113" s="1">
        <v>0</v>
      </c>
    </row>
    <row r="114" spans="1:8" x14ac:dyDescent="0.35">
      <c r="A114" t="s">
        <v>389</v>
      </c>
      <c r="B114" s="1">
        <v>0</v>
      </c>
      <c r="C114" s="1">
        <v>0</v>
      </c>
      <c r="D114" s="1">
        <v>0</v>
      </c>
      <c r="E114">
        <v>0</v>
      </c>
      <c r="F114">
        <v>0</v>
      </c>
      <c r="G114">
        <v>0</v>
      </c>
      <c r="H114" s="1">
        <v>0</v>
      </c>
    </row>
    <row r="115" spans="1:8" x14ac:dyDescent="0.35">
      <c r="A115" t="s">
        <v>392</v>
      </c>
      <c r="B115" s="1">
        <v>0</v>
      </c>
      <c r="C115" s="1">
        <v>0</v>
      </c>
      <c r="D115" s="1">
        <v>0</v>
      </c>
      <c r="E115">
        <v>0</v>
      </c>
      <c r="F115">
        <v>0</v>
      </c>
      <c r="G115">
        <v>0</v>
      </c>
      <c r="H115" s="1">
        <v>0</v>
      </c>
    </row>
    <row r="116" spans="1:8" x14ac:dyDescent="0.35">
      <c r="A116" t="s">
        <v>395</v>
      </c>
      <c r="B116" s="1">
        <v>0</v>
      </c>
      <c r="C116" s="1">
        <v>0</v>
      </c>
      <c r="D116" s="1">
        <v>0</v>
      </c>
      <c r="E116">
        <v>0</v>
      </c>
      <c r="F116">
        <v>0</v>
      </c>
      <c r="G116">
        <v>0</v>
      </c>
      <c r="H116" s="1">
        <v>0</v>
      </c>
    </row>
    <row r="117" spans="1:8" x14ac:dyDescent="0.35">
      <c r="A117" t="s">
        <v>398</v>
      </c>
      <c r="B117" s="1">
        <v>0</v>
      </c>
      <c r="C117" s="1">
        <v>0</v>
      </c>
      <c r="D117" s="1">
        <v>0</v>
      </c>
      <c r="E117">
        <v>0</v>
      </c>
      <c r="F117">
        <v>0</v>
      </c>
      <c r="G117">
        <v>0</v>
      </c>
      <c r="H117" s="1">
        <v>0</v>
      </c>
    </row>
    <row r="118" spans="1:8" x14ac:dyDescent="0.35">
      <c r="A118" t="s">
        <v>401</v>
      </c>
      <c r="B118" s="1">
        <v>0</v>
      </c>
      <c r="C118" s="1">
        <v>0</v>
      </c>
      <c r="D118" s="1">
        <v>0</v>
      </c>
      <c r="E118">
        <v>0</v>
      </c>
      <c r="F118">
        <v>0</v>
      </c>
      <c r="G118">
        <v>0</v>
      </c>
      <c r="H118" s="1">
        <v>0</v>
      </c>
    </row>
    <row r="119" spans="1:8" x14ac:dyDescent="0.35">
      <c r="A119" t="s">
        <v>404</v>
      </c>
      <c r="B119" s="1">
        <v>0</v>
      </c>
      <c r="C119" s="1">
        <v>0</v>
      </c>
      <c r="D119" s="1">
        <v>0</v>
      </c>
      <c r="E119">
        <v>0</v>
      </c>
      <c r="F119">
        <v>0</v>
      </c>
      <c r="G119">
        <v>0</v>
      </c>
      <c r="H119" s="1">
        <v>0</v>
      </c>
    </row>
    <row r="120" spans="1:8" x14ac:dyDescent="0.35">
      <c r="A120" t="s">
        <v>407</v>
      </c>
      <c r="B120" s="1">
        <v>0</v>
      </c>
      <c r="C120" s="1">
        <v>0</v>
      </c>
      <c r="D120" s="1">
        <v>0</v>
      </c>
      <c r="E120">
        <v>0</v>
      </c>
      <c r="F120">
        <v>0</v>
      </c>
      <c r="G120">
        <v>0</v>
      </c>
      <c r="H120" s="1">
        <v>0</v>
      </c>
    </row>
    <row r="121" spans="1:8" x14ac:dyDescent="0.35">
      <c r="A121" t="s">
        <v>410</v>
      </c>
      <c r="B121" s="1">
        <v>0</v>
      </c>
      <c r="C121" s="1">
        <v>0</v>
      </c>
      <c r="D121" s="1">
        <v>0</v>
      </c>
      <c r="E121">
        <v>0</v>
      </c>
      <c r="F121">
        <v>0</v>
      </c>
      <c r="G121">
        <v>0</v>
      </c>
      <c r="H121" s="1">
        <v>0</v>
      </c>
    </row>
    <row r="122" spans="1:8" x14ac:dyDescent="0.35">
      <c r="A122" t="s">
        <v>412</v>
      </c>
      <c r="B122" s="1">
        <v>0</v>
      </c>
      <c r="C122" s="1">
        <v>0</v>
      </c>
      <c r="D122" s="1">
        <v>0</v>
      </c>
      <c r="E122">
        <v>0</v>
      </c>
      <c r="F122">
        <v>0</v>
      </c>
      <c r="G122">
        <v>0</v>
      </c>
      <c r="H122" s="1">
        <v>0</v>
      </c>
    </row>
    <row r="123" spans="1:8" x14ac:dyDescent="0.35">
      <c r="A123" t="s">
        <v>415</v>
      </c>
      <c r="B123" s="1">
        <v>0</v>
      </c>
      <c r="C123" s="1">
        <v>0</v>
      </c>
      <c r="D123" s="1">
        <v>0</v>
      </c>
      <c r="E123">
        <v>0</v>
      </c>
      <c r="F123">
        <v>0</v>
      </c>
      <c r="G123">
        <v>0</v>
      </c>
      <c r="H123" s="1">
        <v>0</v>
      </c>
    </row>
    <row r="124" spans="1:8" x14ac:dyDescent="0.35">
      <c r="A124" t="s">
        <v>418</v>
      </c>
      <c r="B124" s="1">
        <v>0</v>
      </c>
      <c r="C124" s="1">
        <v>0</v>
      </c>
      <c r="D124" s="1">
        <v>0</v>
      </c>
      <c r="E124">
        <v>0</v>
      </c>
      <c r="F124">
        <v>0</v>
      </c>
      <c r="G124">
        <v>0</v>
      </c>
      <c r="H124" s="1">
        <v>0</v>
      </c>
    </row>
    <row r="125" spans="1:8" x14ac:dyDescent="0.35">
      <c r="A125" t="s">
        <v>421</v>
      </c>
      <c r="B125" s="1">
        <v>0</v>
      </c>
      <c r="C125" s="1">
        <v>0</v>
      </c>
      <c r="D125" s="1">
        <v>0</v>
      </c>
      <c r="E125">
        <v>0</v>
      </c>
      <c r="F125">
        <v>0</v>
      </c>
      <c r="G125">
        <v>0</v>
      </c>
      <c r="H125" s="1">
        <v>0</v>
      </c>
    </row>
    <row r="126" spans="1:8" x14ac:dyDescent="0.35">
      <c r="A126" t="s">
        <v>424</v>
      </c>
      <c r="B126" s="1">
        <v>0</v>
      </c>
      <c r="C126" s="1">
        <v>0</v>
      </c>
      <c r="D126" s="1">
        <v>0</v>
      </c>
      <c r="E126">
        <v>0</v>
      </c>
      <c r="F126">
        <v>0</v>
      </c>
      <c r="G126">
        <v>0</v>
      </c>
      <c r="H126" s="1">
        <v>0</v>
      </c>
    </row>
    <row r="127" spans="1:8" x14ac:dyDescent="0.35">
      <c r="A127" t="s">
        <v>430</v>
      </c>
      <c r="B127" s="1">
        <v>0</v>
      </c>
      <c r="C127" s="1">
        <v>0</v>
      </c>
      <c r="D127" s="1">
        <v>0</v>
      </c>
      <c r="E127">
        <v>0</v>
      </c>
      <c r="F127">
        <v>0</v>
      </c>
      <c r="G127">
        <v>0</v>
      </c>
      <c r="H127" s="1">
        <v>0</v>
      </c>
    </row>
    <row r="128" spans="1:8" x14ac:dyDescent="0.35">
      <c r="A128" t="s">
        <v>433</v>
      </c>
      <c r="B128" s="1">
        <v>0</v>
      </c>
      <c r="C128" s="1">
        <v>0</v>
      </c>
      <c r="D128" s="1">
        <v>0</v>
      </c>
      <c r="E128">
        <v>0</v>
      </c>
      <c r="F128">
        <v>0</v>
      </c>
      <c r="G128">
        <v>0</v>
      </c>
      <c r="H128" s="1">
        <v>0</v>
      </c>
    </row>
    <row r="129" spans="1:8" x14ac:dyDescent="0.35">
      <c r="A129" t="s">
        <v>439</v>
      </c>
      <c r="B129" s="1">
        <v>0</v>
      </c>
      <c r="C129" s="1">
        <v>0</v>
      </c>
      <c r="D129" s="1">
        <v>0</v>
      </c>
      <c r="E129">
        <v>0</v>
      </c>
      <c r="F129">
        <v>0</v>
      </c>
      <c r="G129">
        <v>0</v>
      </c>
      <c r="H129" s="1">
        <v>0</v>
      </c>
    </row>
    <row r="130" spans="1:8" x14ac:dyDescent="0.35">
      <c r="A130" t="s">
        <v>445</v>
      </c>
      <c r="B130" s="1">
        <v>0</v>
      </c>
      <c r="C130" s="1">
        <v>0</v>
      </c>
      <c r="D130" s="1">
        <v>0</v>
      </c>
      <c r="E130">
        <v>0</v>
      </c>
      <c r="F130">
        <v>0</v>
      </c>
      <c r="G130">
        <v>0</v>
      </c>
      <c r="H130" s="1">
        <v>0</v>
      </c>
    </row>
    <row r="131" spans="1:8" x14ac:dyDescent="0.35">
      <c r="A131" t="s">
        <v>448</v>
      </c>
      <c r="B131" s="1">
        <v>0</v>
      </c>
      <c r="C131" s="1">
        <v>0</v>
      </c>
      <c r="D131" s="1">
        <v>0</v>
      </c>
      <c r="E131">
        <v>0</v>
      </c>
      <c r="F131">
        <v>0</v>
      </c>
      <c r="G131">
        <v>0</v>
      </c>
      <c r="H131" s="1">
        <v>0</v>
      </c>
    </row>
    <row r="132" spans="1:8" x14ac:dyDescent="0.35">
      <c r="A132" t="s">
        <v>451</v>
      </c>
      <c r="B132" s="1">
        <v>0</v>
      </c>
      <c r="C132" s="1">
        <v>0</v>
      </c>
      <c r="D132" s="1">
        <v>0</v>
      </c>
      <c r="E132">
        <v>0</v>
      </c>
      <c r="F132">
        <v>0</v>
      </c>
      <c r="G132">
        <v>0</v>
      </c>
      <c r="H132" s="1">
        <v>0</v>
      </c>
    </row>
    <row r="133" spans="1:8" x14ac:dyDescent="0.35">
      <c r="A133" t="s">
        <v>454</v>
      </c>
      <c r="B133" s="1">
        <v>0</v>
      </c>
      <c r="C133" s="1">
        <v>0</v>
      </c>
      <c r="D133" s="1">
        <v>0</v>
      </c>
      <c r="E133">
        <v>0</v>
      </c>
      <c r="F133">
        <v>0</v>
      </c>
      <c r="G133">
        <v>0</v>
      </c>
      <c r="H133" s="1">
        <v>0</v>
      </c>
    </row>
    <row r="134" spans="1:8" x14ac:dyDescent="0.35">
      <c r="A134" t="s">
        <v>457</v>
      </c>
      <c r="B134" s="1">
        <v>0</v>
      </c>
      <c r="C134" s="1">
        <v>0</v>
      </c>
      <c r="D134" s="1">
        <v>0</v>
      </c>
      <c r="E134">
        <v>0</v>
      </c>
      <c r="F134">
        <v>0</v>
      </c>
      <c r="G134">
        <v>0</v>
      </c>
      <c r="H134" s="1">
        <v>0</v>
      </c>
    </row>
    <row r="135" spans="1:8" x14ac:dyDescent="0.35">
      <c r="A135" t="s">
        <v>460</v>
      </c>
      <c r="B135" s="1">
        <v>0</v>
      </c>
      <c r="C135" s="1">
        <v>0</v>
      </c>
      <c r="D135" s="1">
        <v>0</v>
      </c>
      <c r="E135">
        <v>0</v>
      </c>
      <c r="F135">
        <v>0</v>
      </c>
      <c r="G135">
        <v>0</v>
      </c>
      <c r="H135" s="1">
        <v>0</v>
      </c>
    </row>
    <row r="136" spans="1:8" x14ac:dyDescent="0.35">
      <c r="A136" t="s">
        <v>463</v>
      </c>
      <c r="B136" s="1">
        <v>0</v>
      </c>
      <c r="C136" s="1">
        <v>0</v>
      </c>
      <c r="D136" s="1">
        <v>0</v>
      </c>
      <c r="E136">
        <v>0</v>
      </c>
      <c r="F136">
        <v>0</v>
      </c>
      <c r="G136">
        <v>0</v>
      </c>
      <c r="H136" s="1">
        <v>0</v>
      </c>
    </row>
    <row r="137" spans="1:8" x14ac:dyDescent="0.35">
      <c r="A137" t="s">
        <v>466</v>
      </c>
      <c r="B137" s="1">
        <v>0</v>
      </c>
      <c r="C137" s="1">
        <v>0</v>
      </c>
      <c r="D137" s="1">
        <v>0</v>
      </c>
      <c r="E137">
        <v>0</v>
      </c>
      <c r="F137">
        <v>0</v>
      </c>
      <c r="G137">
        <v>0</v>
      </c>
      <c r="H137" s="1">
        <v>0</v>
      </c>
    </row>
    <row r="138" spans="1:8" x14ac:dyDescent="0.35">
      <c r="A138" t="s">
        <v>469</v>
      </c>
      <c r="B138" s="1">
        <v>0</v>
      </c>
      <c r="C138" s="1">
        <v>0</v>
      </c>
      <c r="D138" s="1">
        <v>0</v>
      </c>
      <c r="E138">
        <v>0</v>
      </c>
      <c r="F138">
        <v>0</v>
      </c>
      <c r="G138">
        <v>0</v>
      </c>
      <c r="H138" s="1">
        <v>0</v>
      </c>
    </row>
    <row r="139" spans="1:8" x14ac:dyDescent="0.35">
      <c r="A139" t="s">
        <v>472</v>
      </c>
      <c r="B139" s="1">
        <v>0</v>
      </c>
      <c r="C139" s="1">
        <v>0</v>
      </c>
      <c r="D139" s="1">
        <v>0</v>
      </c>
      <c r="E139">
        <v>0</v>
      </c>
      <c r="F139">
        <v>0</v>
      </c>
      <c r="G139">
        <v>0</v>
      </c>
      <c r="H139" s="1">
        <v>0</v>
      </c>
    </row>
    <row r="140" spans="1:8" x14ac:dyDescent="0.35">
      <c r="A140" t="s">
        <v>475</v>
      </c>
      <c r="B140" s="1">
        <v>0</v>
      </c>
      <c r="C140" s="1">
        <v>0</v>
      </c>
      <c r="D140" s="1">
        <v>0</v>
      </c>
      <c r="E140">
        <v>0</v>
      </c>
      <c r="F140">
        <v>0</v>
      </c>
      <c r="G140">
        <v>0</v>
      </c>
      <c r="H140" s="1">
        <v>0</v>
      </c>
    </row>
    <row r="141" spans="1:8" x14ac:dyDescent="0.35">
      <c r="A141" t="s">
        <v>478</v>
      </c>
      <c r="B141" s="1">
        <v>0</v>
      </c>
      <c r="C141" s="1">
        <v>0</v>
      </c>
      <c r="D141" s="1">
        <v>0</v>
      </c>
      <c r="E141">
        <v>0</v>
      </c>
      <c r="F141">
        <v>0</v>
      </c>
      <c r="G141">
        <v>0</v>
      </c>
      <c r="H141" s="1">
        <v>0</v>
      </c>
    </row>
    <row r="142" spans="1:8" x14ac:dyDescent="0.35">
      <c r="A142" t="s">
        <v>481</v>
      </c>
      <c r="B142" s="1">
        <v>0</v>
      </c>
      <c r="C142" s="1">
        <v>0</v>
      </c>
      <c r="D142" s="1">
        <v>0</v>
      </c>
      <c r="E142">
        <v>0</v>
      </c>
      <c r="F142">
        <v>0</v>
      </c>
      <c r="G142">
        <v>0</v>
      </c>
      <c r="H142" s="1">
        <v>0</v>
      </c>
    </row>
    <row r="143" spans="1:8" x14ac:dyDescent="0.35">
      <c r="A143" t="s">
        <v>487</v>
      </c>
      <c r="B143" s="1">
        <v>0</v>
      </c>
      <c r="C143" s="1">
        <v>0</v>
      </c>
      <c r="D143" s="1">
        <v>0</v>
      </c>
      <c r="E143">
        <v>0</v>
      </c>
      <c r="F143">
        <v>0</v>
      </c>
      <c r="G143">
        <v>0</v>
      </c>
      <c r="H143" s="1">
        <v>0</v>
      </c>
    </row>
    <row r="144" spans="1:8" x14ac:dyDescent="0.35">
      <c r="A144" t="s">
        <v>490</v>
      </c>
      <c r="B144" s="1">
        <v>0</v>
      </c>
      <c r="C144" s="1">
        <v>0</v>
      </c>
      <c r="D144" s="1">
        <v>0</v>
      </c>
      <c r="E144">
        <v>0</v>
      </c>
      <c r="F144">
        <v>0</v>
      </c>
      <c r="G144">
        <v>0</v>
      </c>
      <c r="H144" s="1">
        <v>0</v>
      </c>
    </row>
    <row r="145" spans="1:8" x14ac:dyDescent="0.35">
      <c r="A145" t="s">
        <v>493</v>
      </c>
      <c r="B145" s="1">
        <v>0</v>
      </c>
      <c r="C145" s="1">
        <v>0</v>
      </c>
      <c r="D145" s="1">
        <v>0</v>
      </c>
      <c r="E145">
        <v>0</v>
      </c>
      <c r="F145">
        <v>0</v>
      </c>
      <c r="G145">
        <v>0</v>
      </c>
      <c r="H145" s="1">
        <v>0</v>
      </c>
    </row>
    <row r="146" spans="1:8" x14ac:dyDescent="0.35">
      <c r="A146" t="s">
        <v>499</v>
      </c>
      <c r="B146" s="1">
        <v>0</v>
      </c>
      <c r="C146" s="1">
        <v>0</v>
      </c>
      <c r="D146" s="1">
        <v>0</v>
      </c>
      <c r="E146">
        <v>0</v>
      </c>
      <c r="F146">
        <v>0</v>
      </c>
      <c r="G146">
        <v>0</v>
      </c>
      <c r="H146" s="1">
        <v>0</v>
      </c>
    </row>
    <row r="147" spans="1:8" x14ac:dyDescent="0.35">
      <c r="A147" t="s">
        <v>502</v>
      </c>
      <c r="B147" s="1">
        <v>0</v>
      </c>
      <c r="C147" s="1">
        <v>0</v>
      </c>
      <c r="D147" s="1">
        <v>0</v>
      </c>
      <c r="E147">
        <v>0</v>
      </c>
      <c r="F147">
        <v>0</v>
      </c>
      <c r="G147">
        <v>0</v>
      </c>
      <c r="H147" s="1">
        <v>0</v>
      </c>
    </row>
    <row r="148" spans="1:8" x14ac:dyDescent="0.35">
      <c r="A148" t="s">
        <v>505</v>
      </c>
      <c r="B148" s="1">
        <v>0</v>
      </c>
      <c r="C148" s="1">
        <v>0</v>
      </c>
      <c r="D148" s="1">
        <v>0</v>
      </c>
      <c r="E148">
        <v>0</v>
      </c>
      <c r="F148">
        <v>0</v>
      </c>
      <c r="G148">
        <v>0</v>
      </c>
      <c r="H148" s="1">
        <v>0</v>
      </c>
    </row>
    <row r="149" spans="1:8" x14ac:dyDescent="0.35">
      <c r="A149" t="s">
        <v>508</v>
      </c>
      <c r="B149" s="1">
        <v>0</v>
      </c>
      <c r="C149" s="1">
        <v>0</v>
      </c>
      <c r="D149" s="1">
        <v>0</v>
      </c>
      <c r="E149">
        <v>0</v>
      </c>
      <c r="F149">
        <v>0</v>
      </c>
      <c r="G149">
        <v>0</v>
      </c>
      <c r="H149" s="1">
        <v>0</v>
      </c>
    </row>
    <row r="150" spans="1:8" x14ac:dyDescent="0.35">
      <c r="A150" t="s">
        <v>511</v>
      </c>
      <c r="B150" s="1">
        <v>0</v>
      </c>
      <c r="C150" s="1">
        <v>0</v>
      </c>
      <c r="D150" s="1">
        <v>0</v>
      </c>
      <c r="E150">
        <v>0</v>
      </c>
      <c r="F150">
        <v>0</v>
      </c>
      <c r="G150">
        <v>0</v>
      </c>
      <c r="H150" s="1">
        <v>0</v>
      </c>
    </row>
    <row r="151" spans="1:8" x14ac:dyDescent="0.35">
      <c r="A151" t="s">
        <v>514</v>
      </c>
      <c r="B151" s="1">
        <v>0</v>
      </c>
      <c r="C151" s="1">
        <v>0</v>
      </c>
      <c r="D151" s="1">
        <v>0</v>
      </c>
      <c r="E151">
        <v>0</v>
      </c>
      <c r="F151">
        <v>0</v>
      </c>
      <c r="G151">
        <v>0</v>
      </c>
      <c r="H151" s="1">
        <v>0</v>
      </c>
    </row>
    <row r="152" spans="1:8" x14ac:dyDescent="0.35">
      <c r="A152" t="s">
        <v>523</v>
      </c>
      <c r="B152" s="1">
        <v>0</v>
      </c>
      <c r="C152" s="1">
        <v>0</v>
      </c>
      <c r="D152" s="1">
        <v>0</v>
      </c>
      <c r="E152">
        <v>0</v>
      </c>
      <c r="F152">
        <v>0</v>
      </c>
      <c r="G152">
        <v>0</v>
      </c>
      <c r="H152" s="1">
        <v>0</v>
      </c>
    </row>
    <row r="153" spans="1:8" x14ac:dyDescent="0.35">
      <c r="A153" t="s">
        <v>526</v>
      </c>
      <c r="B153" s="1">
        <v>0</v>
      </c>
      <c r="C153" s="1">
        <v>0</v>
      </c>
      <c r="D153" s="1">
        <v>0</v>
      </c>
      <c r="E153">
        <v>0</v>
      </c>
      <c r="F153">
        <v>0</v>
      </c>
      <c r="G153">
        <v>0</v>
      </c>
      <c r="H153" s="1">
        <v>0</v>
      </c>
    </row>
    <row r="154" spans="1:8" x14ac:dyDescent="0.35">
      <c r="A154" t="s">
        <v>532</v>
      </c>
      <c r="B154" s="1">
        <v>0</v>
      </c>
      <c r="C154" s="1">
        <v>0</v>
      </c>
      <c r="D154" s="1">
        <v>0</v>
      </c>
      <c r="E154">
        <v>0</v>
      </c>
      <c r="F154">
        <v>0</v>
      </c>
      <c r="G154">
        <v>0</v>
      </c>
      <c r="H154" s="1">
        <v>0</v>
      </c>
    </row>
    <row r="155" spans="1:8" x14ac:dyDescent="0.35">
      <c r="A155" t="s">
        <v>535</v>
      </c>
      <c r="B155" s="1">
        <v>0</v>
      </c>
      <c r="C155" s="1">
        <v>0</v>
      </c>
      <c r="D155" s="1">
        <v>0</v>
      </c>
      <c r="E155">
        <v>0</v>
      </c>
      <c r="F155">
        <v>0</v>
      </c>
      <c r="G155">
        <v>0</v>
      </c>
      <c r="H155" s="1">
        <v>0</v>
      </c>
    </row>
    <row r="156" spans="1:8" x14ac:dyDescent="0.35">
      <c r="A156" t="s">
        <v>538</v>
      </c>
      <c r="B156" s="1">
        <v>0</v>
      </c>
      <c r="C156" s="1">
        <v>0</v>
      </c>
      <c r="D156" s="1">
        <v>0</v>
      </c>
      <c r="E156">
        <v>0</v>
      </c>
      <c r="F156">
        <v>0</v>
      </c>
      <c r="G156">
        <v>0</v>
      </c>
      <c r="H156" s="1">
        <v>0</v>
      </c>
    </row>
    <row r="157" spans="1:8" x14ac:dyDescent="0.35">
      <c r="A157" t="s">
        <v>541</v>
      </c>
      <c r="B157" s="1">
        <v>0</v>
      </c>
      <c r="C157" s="1">
        <v>0</v>
      </c>
      <c r="D157" s="1">
        <v>0</v>
      </c>
      <c r="E157">
        <v>0</v>
      </c>
      <c r="F157">
        <v>0</v>
      </c>
      <c r="G157">
        <v>0</v>
      </c>
      <c r="H157" s="1">
        <v>0</v>
      </c>
    </row>
    <row r="158" spans="1:8" x14ac:dyDescent="0.35">
      <c r="A158" t="s">
        <v>547</v>
      </c>
      <c r="B158" s="1">
        <v>0</v>
      </c>
      <c r="C158" s="1">
        <v>0</v>
      </c>
      <c r="D158" s="1">
        <v>0</v>
      </c>
      <c r="E158">
        <v>0</v>
      </c>
      <c r="F158">
        <v>0</v>
      </c>
      <c r="G158">
        <v>0</v>
      </c>
      <c r="H158" s="1">
        <v>0</v>
      </c>
    </row>
    <row r="159" spans="1:8" x14ac:dyDescent="0.35">
      <c r="A159" t="s">
        <v>550</v>
      </c>
      <c r="B159" s="1">
        <v>0</v>
      </c>
      <c r="C159" s="1">
        <v>0</v>
      </c>
      <c r="D159" s="1">
        <v>0</v>
      </c>
      <c r="E159">
        <v>0</v>
      </c>
      <c r="F159">
        <v>0</v>
      </c>
      <c r="G159">
        <v>0</v>
      </c>
      <c r="H159" s="1">
        <v>0</v>
      </c>
    </row>
    <row r="160" spans="1:8" x14ac:dyDescent="0.35">
      <c r="A160" t="s">
        <v>553</v>
      </c>
      <c r="B160" s="1">
        <v>0</v>
      </c>
      <c r="C160" s="1">
        <v>0</v>
      </c>
      <c r="D160" s="1">
        <v>0</v>
      </c>
      <c r="E160">
        <v>0</v>
      </c>
      <c r="F160">
        <v>0</v>
      </c>
      <c r="G160">
        <v>0</v>
      </c>
      <c r="H160" s="1">
        <v>0</v>
      </c>
    </row>
    <row r="161" spans="1:8" x14ac:dyDescent="0.35">
      <c r="A161" t="s">
        <v>556</v>
      </c>
      <c r="B161" s="1">
        <v>0</v>
      </c>
      <c r="C161" s="1">
        <v>0</v>
      </c>
      <c r="D161" s="1">
        <v>0</v>
      </c>
      <c r="E161">
        <v>0</v>
      </c>
      <c r="F161">
        <v>0</v>
      </c>
      <c r="G161">
        <v>0</v>
      </c>
      <c r="H161" s="1">
        <v>0</v>
      </c>
    </row>
    <row r="162" spans="1:8" x14ac:dyDescent="0.35">
      <c r="A162" t="s">
        <v>592</v>
      </c>
      <c r="B162" s="1">
        <v>0</v>
      </c>
      <c r="C162" s="1">
        <v>0</v>
      </c>
      <c r="D162" s="1">
        <v>0</v>
      </c>
      <c r="E162">
        <v>0</v>
      </c>
      <c r="F162">
        <v>0</v>
      </c>
      <c r="G162">
        <v>0</v>
      </c>
      <c r="H162" s="1">
        <v>0</v>
      </c>
    </row>
    <row r="163" spans="1:8" x14ac:dyDescent="0.35">
      <c r="A163" t="s">
        <v>607</v>
      </c>
      <c r="B163" s="1">
        <v>0</v>
      </c>
      <c r="C163" s="1">
        <v>0</v>
      </c>
      <c r="D163" s="1">
        <v>0</v>
      </c>
      <c r="E163">
        <v>0</v>
      </c>
      <c r="F163">
        <v>0</v>
      </c>
      <c r="G163">
        <v>0</v>
      </c>
      <c r="H163" s="1">
        <v>0</v>
      </c>
    </row>
    <row r="164" spans="1:8" x14ac:dyDescent="0.35">
      <c r="A164" t="s">
        <v>610</v>
      </c>
      <c r="B164" s="1">
        <v>0</v>
      </c>
      <c r="C164" s="1">
        <v>0</v>
      </c>
      <c r="D164" s="1">
        <v>0</v>
      </c>
      <c r="E164">
        <v>0</v>
      </c>
      <c r="F164">
        <v>0</v>
      </c>
      <c r="G164">
        <v>0</v>
      </c>
      <c r="H164" s="1">
        <v>0</v>
      </c>
    </row>
    <row r="165" spans="1:8" x14ac:dyDescent="0.35">
      <c r="A165" t="s">
        <v>613</v>
      </c>
      <c r="B165" s="1">
        <v>0</v>
      </c>
      <c r="C165" s="1">
        <v>0</v>
      </c>
      <c r="D165" s="1">
        <v>0</v>
      </c>
      <c r="E165">
        <v>0</v>
      </c>
      <c r="F165">
        <v>0</v>
      </c>
      <c r="G165">
        <v>0</v>
      </c>
      <c r="H165" s="1">
        <v>0</v>
      </c>
    </row>
    <row r="166" spans="1:8" x14ac:dyDescent="0.35">
      <c r="A166" t="s">
        <v>616</v>
      </c>
      <c r="B166" s="1">
        <v>0</v>
      </c>
      <c r="C166" s="1">
        <v>0</v>
      </c>
      <c r="D166" s="1">
        <v>0</v>
      </c>
      <c r="E166">
        <v>0</v>
      </c>
      <c r="F166">
        <v>0</v>
      </c>
      <c r="G166">
        <v>0</v>
      </c>
      <c r="H166" s="1">
        <v>0</v>
      </c>
    </row>
    <row r="167" spans="1:8" x14ac:dyDescent="0.35">
      <c r="A167" t="s">
        <v>619</v>
      </c>
      <c r="B167" s="1">
        <v>0</v>
      </c>
      <c r="C167" s="1">
        <v>0</v>
      </c>
      <c r="D167" s="1">
        <v>0</v>
      </c>
      <c r="E167">
        <v>0</v>
      </c>
      <c r="F167">
        <v>0</v>
      </c>
      <c r="G167">
        <v>0</v>
      </c>
      <c r="H167" s="1">
        <v>0</v>
      </c>
    </row>
    <row r="168" spans="1:8" x14ac:dyDescent="0.35">
      <c r="A168" t="s">
        <v>622</v>
      </c>
      <c r="B168" s="1">
        <v>0</v>
      </c>
      <c r="C168" s="1">
        <v>0</v>
      </c>
      <c r="D168" s="1">
        <v>0</v>
      </c>
      <c r="E168">
        <v>0</v>
      </c>
      <c r="F168">
        <v>0</v>
      </c>
      <c r="G168">
        <v>0</v>
      </c>
      <c r="H168" s="1">
        <v>0</v>
      </c>
    </row>
    <row r="169" spans="1:8" x14ac:dyDescent="0.35">
      <c r="A169" t="s">
        <v>628</v>
      </c>
      <c r="B169" s="1">
        <v>0</v>
      </c>
      <c r="C169" s="1">
        <v>0</v>
      </c>
      <c r="D169" s="1">
        <v>0</v>
      </c>
      <c r="E169">
        <v>0</v>
      </c>
      <c r="F169">
        <v>0</v>
      </c>
      <c r="G169">
        <v>0</v>
      </c>
      <c r="H169" s="1">
        <v>0</v>
      </c>
    </row>
    <row r="170" spans="1:8" x14ac:dyDescent="0.35">
      <c r="A170" t="s">
        <v>631</v>
      </c>
      <c r="B170" s="1">
        <v>0</v>
      </c>
      <c r="C170" s="1">
        <v>0</v>
      </c>
      <c r="D170" s="1">
        <v>0</v>
      </c>
      <c r="E170">
        <v>0</v>
      </c>
      <c r="F170">
        <v>0</v>
      </c>
      <c r="G170">
        <v>0</v>
      </c>
      <c r="H170" s="1">
        <v>0</v>
      </c>
    </row>
    <row r="171" spans="1:8" x14ac:dyDescent="0.35">
      <c r="A171" t="s">
        <v>637</v>
      </c>
      <c r="B171" s="1">
        <v>0</v>
      </c>
      <c r="C171" s="1">
        <v>0</v>
      </c>
      <c r="D171" s="1">
        <v>0</v>
      </c>
      <c r="E171">
        <v>0</v>
      </c>
      <c r="F171">
        <v>0</v>
      </c>
      <c r="G171">
        <v>0</v>
      </c>
      <c r="H171" s="1">
        <v>0</v>
      </c>
    </row>
    <row r="172" spans="1:8" x14ac:dyDescent="0.35">
      <c r="A172" t="s">
        <v>649</v>
      </c>
      <c r="B172" s="1">
        <v>0</v>
      </c>
      <c r="C172" s="1">
        <v>0</v>
      </c>
      <c r="D172" s="1">
        <v>0</v>
      </c>
      <c r="E172">
        <v>0</v>
      </c>
      <c r="F172">
        <v>0</v>
      </c>
      <c r="G172">
        <v>0</v>
      </c>
      <c r="H172" s="1">
        <v>0</v>
      </c>
    </row>
    <row r="173" spans="1:8" x14ac:dyDescent="0.35">
      <c r="A173" t="s">
        <v>655</v>
      </c>
      <c r="B173" s="1">
        <v>0</v>
      </c>
      <c r="C173" s="1">
        <v>0</v>
      </c>
      <c r="D173" s="1">
        <v>0</v>
      </c>
      <c r="E173">
        <v>0</v>
      </c>
      <c r="F173">
        <v>0</v>
      </c>
      <c r="G173">
        <v>0</v>
      </c>
      <c r="H173" s="1">
        <v>0</v>
      </c>
    </row>
    <row r="174" spans="1:8" x14ac:dyDescent="0.35">
      <c r="A174" t="s">
        <v>661</v>
      </c>
      <c r="B174" s="1">
        <v>0</v>
      </c>
      <c r="C174" s="1">
        <v>0</v>
      </c>
      <c r="D174" s="1">
        <v>0</v>
      </c>
      <c r="E174">
        <v>0</v>
      </c>
      <c r="F174">
        <v>0</v>
      </c>
      <c r="G174">
        <v>0</v>
      </c>
      <c r="H174" s="1">
        <v>0</v>
      </c>
    </row>
    <row r="175" spans="1:8" x14ac:dyDescent="0.35">
      <c r="A175" t="s">
        <v>670</v>
      </c>
      <c r="B175" s="1">
        <v>0</v>
      </c>
      <c r="C175" s="1">
        <v>0</v>
      </c>
      <c r="D175" s="1">
        <v>0</v>
      </c>
      <c r="E175">
        <v>0</v>
      </c>
      <c r="F175">
        <v>0</v>
      </c>
      <c r="G175">
        <v>0</v>
      </c>
      <c r="H175" s="1">
        <v>0</v>
      </c>
    </row>
    <row r="176" spans="1:8" x14ac:dyDescent="0.35">
      <c r="A176" t="s">
        <v>673</v>
      </c>
      <c r="B176" s="1">
        <v>0</v>
      </c>
      <c r="C176" s="1">
        <v>0</v>
      </c>
      <c r="D176" s="1">
        <v>0</v>
      </c>
      <c r="E176">
        <v>0</v>
      </c>
      <c r="F176">
        <v>0</v>
      </c>
      <c r="G176">
        <v>0</v>
      </c>
      <c r="H176" s="1">
        <v>0</v>
      </c>
    </row>
    <row r="177" spans="1:8" x14ac:dyDescent="0.35">
      <c r="A177" t="s">
        <v>676</v>
      </c>
      <c r="B177" s="1">
        <v>0</v>
      </c>
      <c r="C177" s="1">
        <v>0</v>
      </c>
      <c r="D177" s="1">
        <v>0</v>
      </c>
      <c r="E177">
        <v>0</v>
      </c>
      <c r="F177">
        <v>0</v>
      </c>
      <c r="G177">
        <v>0</v>
      </c>
      <c r="H177" s="1">
        <v>0</v>
      </c>
    </row>
    <row r="178" spans="1:8" x14ac:dyDescent="0.35">
      <c r="A178" t="s">
        <v>682</v>
      </c>
      <c r="B178" s="1">
        <v>0</v>
      </c>
      <c r="C178" s="1">
        <v>0</v>
      </c>
      <c r="D178" s="1">
        <v>0</v>
      </c>
      <c r="E178">
        <v>0</v>
      </c>
      <c r="F178">
        <v>0</v>
      </c>
      <c r="G178">
        <v>0</v>
      </c>
      <c r="H178" s="1">
        <v>0</v>
      </c>
    </row>
    <row r="179" spans="1:8" x14ac:dyDescent="0.35">
      <c r="A179" t="s">
        <v>688</v>
      </c>
      <c r="B179" s="1">
        <v>0</v>
      </c>
      <c r="C179" s="1">
        <v>0</v>
      </c>
      <c r="D179" s="1">
        <v>0</v>
      </c>
      <c r="E179">
        <v>0</v>
      </c>
      <c r="F179">
        <v>0</v>
      </c>
      <c r="G179">
        <v>0</v>
      </c>
      <c r="H179" s="1">
        <v>0</v>
      </c>
    </row>
    <row r="180" spans="1:8" x14ac:dyDescent="0.35">
      <c r="A180" t="s">
        <v>694</v>
      </c>
      <c r="B180" s="1">
        <v>0</v>
      </c>
      <c r="C180" s="1">
        <v>0</v>
      </c>
      <c r="D180" s="1">
        <v>0</v>
      </c>
      <c r="E180">
        <v>0</v>
      </c>
      <c r="F180">
        <v>0</v>
      </c>
      <c r="G180">
        <v>0</v>
      </c>
      <c r="H180" s="1">
        <v>0</v>
      </c>
    </row>
    <row r="181" spans="1:8" x14ac:dyDescent="0.35">
      <c r="A181" t="s">
        <v>700</v>
      </c>
      <c r="B181" s="1">
        <v>0</v>
      </c>
      <c r="C181" s="1">
        <v>0</v>
      </c>
      <c r="D181" s="1">
        <v>0</v>
      </c>
      <c r="E181">
        <v>0</v>
      </c>
      <c r="F181">
        <v>0</v>
      </c>
      <c r="G181">
        <v>0</v>
      </c>
      <c r="H181" s="1">
        <v>0</v>
      </c>
    </row>
    <row r="182" spans="1:8" x14ac:dyDescent="0.35">
      <c r="A182" t="s">
        <v>709</v>
      </c>
      <c r="B182" s="1">
        <v>0</v>
      </c>
      <c r="C182" s="1">
        <v>0</v>
      </c>
      <c r="D182" s="1">
        <v>0</v>
      </c>
      <c r="E182">
        <v>0</v>
      </c>
      <c r="F182">
        <v>0</v>
      </c>
      <c r="G182">
        <v>0</v>
      </c>
      <c r="H182" s="1">
        <v>0</v>
      </c>
    </row>
    <row r="183" spans="1:8" x14ac:dyDescent="0.35">
      <c r="A183" t="s">
        <v>712</v>
      </c>
      <c r="B183" s="1">
        <v>0</v>
      </c>
      <c r="C183" s="1">
        <v>0</v>
      </c>
      <c r="D183" s="1">
        <v>0</v>
      </c>
      <c r="E183">
        <v>0</v>
      </c>
      <c r="F183">
        <v>0</v>
      </c>
      <c r="G183">
        <v>0</v>
      </c>
      <c r="H183" s="1">
        <v>0</v>
      </c>
    </row>
    <row r="184" spans="1:8" x14ac:dyDescent="0.35">
      <c r="A184" t="s">
        <v>723</v>
      </c>
      <c r="B184" s="1">
        <v>0</v>
      </c>
      <c r="C184" s="1">
        <v>0</v>
      </c>
      <c r="D184" s="1">
        <v>0</v>
      </c>
      <c r="E184">
        <v>0</v>
      </c>
      <c r="F184">
        <v>0</v>
      </c>
      <c r="G184">
        <v>0</v>
      </c>
      <c r="H184" s="1">
        <v>0</v>
      </c>
    </row>
    <row r="185" spans="1:8" x14ac:dyDescent="0.35">
      <c r="A185" t="s">
        <v>726</v>
      </c>
      <c r="B185" s="1">
        <v>0</v>
      </c>
      <c r="C185" s="1">
        <v>0</v>
      </c>
      <c r="D185" s="1">
        <v>0</v>
      </c>
      <c r="E185">
        <v>0</v>
      </c>
      <c r="F185">
        <v>0</v>
      </c>
      <c r="G185">
        <v>0</v>
      </c>
      <c r="H185" s="1">
        <v>0</v>
      </c>
    </row>
    <row r="186" spans="1:8" x14ac:dyDescent="0.35">
      <c r="A186" t="s">
        <v>729</v>
      </c>
      <c r="B186" s="1">
        <v>0</v>
      </c>
      <c r="C186" s="1">
        <v>0</v>
      </c>
      <c r="D186" s="1">
        <v>0</v>
      </c>
      <c r="E186">
        <v>0</v>
      </c>
      <c r="F186">
        <v>0</v>
      </c>
      <c r="G186">
        <v>0</v>
      </c>
      <c r="H186" s="1">
        <v>0</v>
      </c>
    </row>
    <row r="187" spans="1:8" x14ac:dyDescent="0.35">
      <c r="A187" t="s">
        <v>732</v>
      </c>
      <c r="B187" s="1">
        <v>0</v>
      </c>
      <c r="C187" s="1">
        <v>0</v>
      </c>
      <c r="D187" s="1">
        <v>0</v>
      </c>
      <c r="E187">
        <v>0</v>
      </c>
      <c r="F187">
        <v>0</v>
      </c>
      <c r="G187">
        <v>0</v>
      </c>
      <c r="H187" s="1">
        <v>0</v>
      </c>
    </row>
    <row r="188" spans="1:8" x14ac:dyDescent="0.35">
      <c r="A188" t="s">
        <v>735</v>
      </c>
      <c r="B188" s="1">
        <v>0</v>
      </c>
      <c r="C188" s="1">
        <v>0</v>
      </c>
      <c r="D188" s="1">
        <v>0</v>
      </c>
      <c r="E188">
        <v>0</v>
      </c>
      <c r="F188">
        <v>0</v>
      </c>
      <c r="G188">
        <v>0</v>
      </c>
      <c r="H188" s="1">
        <v>0</v>
      </c>
    </row>
    <row r="189" spans="1:8" x14ac:dyDescent="0.35">
      <c r="A189" t="s">
        <v>741</v>
      </c>
      <c r="B189" s="1">
        <v>0</v>
      </c>
      <c r="C189" s="1">
        <v>0</v>
      </c>
      <c r="D189" s="1">
        <v>0</v>
      </c>
      <c r="E189">
        <v>0</v>
      </c>
      <c r="F189">
        <v>0</v>
      </c>
      <c r="G189">
        <v>0</v>
      </c>
      <c r="H189" s="1">
        <v>0</v>
      </c>
    </row>
    <row r="190" spans="1:8" x14ac:dyDescent="0.35">
      <c r="A190" t="s">
        <v>744</v>
      </c>
      <c r="B190" s="1">
        <v>0</v>
      </c>
      <c r="C190" s="1">
        <v>0</v>
      </c>
      <c r="D190" s="1">
        <v>0</v>
      </c>
      <c r="E190">
        <v>0</v>
      </c>
      <c r="F190">
        <v>0</v>
      </c>
      <c r="G190">
        <v>0</v>
      </c>
      <c r="H190" s="1">
        <v>0</v>
      </c>
    </row>
    <row r="191" spans="1:8" x14ac:dyDescent="0.35">
      <c r="A191" t="s">
        <v>747</v>
      </c>
      <c r="B191" s="1">
        <v>0</v>
      </c>
      <c r="C191" s="1">
        <v>0</v>
      </c>
      <c r="D191" s="1">
        <v>0</v>
      </c>
      <c r="E191">
        <v>0</v>
      </c>
      <c r="F191">
        <v>0</v>
      </c>
      <c r="G191">
        <v>0</v>
      </c>
      <c r="H191" s="1">
        <v>0</v>
      </c>
    </row>
    <row r="192" spans="1:8" x14ac:dyDescent="0.35">
      <c r="A192" t="s">
        <v>750</v>
      </c>
      <c r="B192" s="1">
        <v>0</v>
      </c>
      <c r="C192" s="1">
        <v>0</v>
      </c>
      <c r="D192" s="1">
        <v>0</v>
      </c>
      <c r="E192">
        <v>0</v>
      </c>
      <c r="F192">
        <v>0</v>
      </c>
      <c r="G192">
        <v>0</v>
      </c>
      <c r="H192" s="1">
        <v>0</v>
      </c>
    </row>
    <row r="193" spans="1:8" x14ac:dyDescent="0.35">
      <c r="A193" t="s">
        <v>753</v>
      </c>
      <c r="B193" s="1">
        <v>0</v>
      </c>
      <c r="C193" s="1">
        <v>0</v>
      </c>
      <c r="D193" s="1">
        <v>0</v>
      </c>
      <c r="E193">
        <v>0</v>
      </c>
      <c r="F193">
        <v>0</v>
      </c>
      <c r="G193">
        <v>0</v>
      </c>
      <c r="H193" s="1">
        <v>0</v>
      </c>
    </row>
    <row r="194" spans="1:8" x14ac:dyDescent="0.35">
      <c r="A194" t="s">
        <v>756</v>
      </c>
      <c r="B194" s="1">
        <v>0</v>
      </c>
      <c r="C194" s="1">
        <v>0</v>
      </c>
      <c r="D194" s="1">
        <v>0</v>
      </c>
      <c r="E194">
        <v>0</v>
      </c>
      <c r="F194">
        <v>0</v>
      </c>
      <c r="G194">
        <v>0</v>
      </c>
      <c r="H194" s="1">
        <v>0</v>
      </c>
    </row>
    <row r="195" spans="1:8" x14ac:dyDescent="0.35">
      <c r="A195" t="s">
        <v>765</v>
      </c>
      <c r="B195" s="1">
        <v>0</v>
      </c>
      <c r="C195" s="1">
        <v>0</v>
      </c>
      <c r="D195" s="1">
        <v>0</v>
      </c>
      <c r="E195">
        <v>0</v>
      </c>
      <c r="F195">
        <v>0</v>
      </c>
      <c r="G195">
        <v>0</v>
      </c>
      <c r="H195" s="1">
        <v>0</v>
      </c>
    </row>
    <row r="196" spans="1:8" x14ac:dyDescent="0.35">
      <c r="A196" t="s">
        <v>768</v>
      </c>
      <c r="B196" s="1">
        <v>0</v>
      </c>
      <c r="C196" s="1">
        <v>0</v>
      </c>
      <c r="D196" s="1">
        <v>0</v>
      </c>
      <c r="E196">
        <v>0</v>
      </c>
      <c r="F196">
        <v>0</v>
      </c>
      <c r="G196">
        <v>0</v>
      </c>
      <c r="H196" s="1">
        <v>0</v>
      </c>
    </row>
    <row r="197" spans="1:8" x14ac:dyDescent="0.35">
      <c r="A197" t="s">
        <v>771</v>
      </c>
      <c r="B197" s="1">
        <v>0</v>
      </c>
      <c r="C197" s="1">
        <v>0</v>
      </c>
      <c r="D197" s="1">
        <v>0</v>
      </c>
      <c r="E197">
        <v>0</v>
      </c>
      <c r="F197">
        <v>0</v>
      </c>
      <c r="G197">
        <v>0</v>
      </c>
      <c r="H197" s="1">
        <v>0</v>
      </c>
    </row>
    <row r="198" spans="1:8" x14ac:dyDescent="0.35">
      <c r="A198" t="s">
        <v>779</v>
      </c>
      <c r="B198" s="1">
        <v>0</v>
      </c>
      <c r="C198" s="1">
        <v>0</v>
      </c>
      <c r="D198" s="1">
        <v>0</v>
      </c>
      <c r="E198">
        <v>0</v>
      </c>
      <c r="F198">
        <v>0</v>
      </c>
      <c r="G198">
        <v>0</v>
      </c>
      <c r="H198" s="1">
        <v>0</v>
      </c>
    </row>
    <row r="199" spans="1:8" x14ac:dyDescent="0.35">
      <c r="A199" t="s">
        <v>785</v>
      </c>
      <c r="B199" s="1">
        <v>0</v>
      </c>
      <c r="C199" s="1">
        <v>0</v>
      </c>
      <c r="D199" s="1">
        <v>0</v>
      </c>
      <c r="E199">
        <v>0</v>
      </c>
      <c r="F199">
        <v>0</v>
      </c>
      <c r="G199">
        <v>0</v>
      </c>
      <c r="H199" s="1">
        <v>0</v>
      </c>
    </row>
    <row r="200" spans="1:8" x14ac:dyDescent="0.35">
      <c r="A200" t="s">
        <v>788</v>
      </c>
      <c r="B200" s="1">
        <v>0</v>
      </c>
      <c r="C200" s="1">
        <v>0</v>
      </c>
      <c r="D200" s="1">
        <v>0</v>
      </c>
      <c r="E200">
        <v>0</v>
      </c>
      <c r="F200">
        <v>0</v>
      </c>
      <c r="G200">
        <v>0</v>
      </c>
      <c r="H200" s="1">
        <v>0</v>
      </c>
    </row>
    <row r="201" spans="1:8" x14ac:dyDescent="0.35">
      <c r="A201" t="s">
        <v>794</v>
      </c>
      <c r="B201" s="1">
        <v>0</v>
      </c>
      <c r="C201" s="1">
        <v>0</v>
      </c>
      <c r="D201" s="1">
        <v>0</v>
      </c>
      <c r="E201">
        <v>0</v>
      </c>
      <c r="F201">
        <v>0</v>
      </c>
      <c r="G201">
        <v>0</v>
      </c>
      <c r="H201" s="1">
        <v>0</v>
      </c>
    </row>
    <row r="202" spans="1:8" x14ac:dyDescent="0.35">
      <c r="A202" t="s">
        <v>797</v>
      </c>
      <c r="B202" s="1">
        <v>0</v>
      </c>
      <c r="C202" s="1">
        <v>0</v>
      </c>
      <c r="D202" s="1">
        <v>0</v>
      </c>
      <c r="E202">
        <v>0</v>
      </c>
      <c r="F202">
        <v>0</v>
      </c>
      <c r="G202">
        <v>0</v>
      </c>
      <c r="H202" s="1">
        <v>0</v>
      </c>
    </row>
    <row r="203" spans="1:8" x14ac:dyDescent="0.35">
      <c r="A203" t="s">
        <v>802</v>
      </c>
      <c r="B203" s="1">
        <v>0</v>
      </c>
      <c r="C203" s="1">
        <v>0</v>
      </c>
      <c r="D203" s="1">
        <v>0</v>
      </c>
      <c r="E203">
        <v>0</v>
      </c>
      <c r="F203">
        <v>0</v>
      </c>
      <c r="G203">
        <v>0</v>
      </c>
      <c r="H203" s="1">
        <v>0</v>
      </c>
    </row>
    <row r="204" spans="1:8" x14ac:dyDescent="0.35">
      <c r="A204" t="s">
        <v>805</v>
      </c>
      <c r="B204" s="1">
        <v>0</v>
      </c>
      <c r="C204" s="1">
        <v>0</v>
      </c>
      <c r="D204" s="1">
        <v>0</v>
      </c>
      <c r="E204">
        <v>0</v>
      </c>
      <c r="F204">
        <v>0</v>
      </c>
      <c r="G204">
        <v>0</v>
      </c>
      <c r="H204" s="1">
        <v>0</v>
      </c>
    </row>
    <row r="205" spans="1:8" x14ac:dyDescent="0.35">
      <c r="A205" t="s">
        <v>808</v>
      </c>
      <c r="B205" s="1">
        <v>0</v>
      </c>
      <c r="C205" s="1">
        <v>0</v>
      </c>
      <c r="D205" s="1">
        <v>0</v>
      </c>
      <c r="E205">
        <v>0</v>
      </c>
      <c r="F205">
        <v>0</v>
      </c>
      <c r="G205">
        <v>0</v>
      </c>
      <c r="H205" s="1">
        <v>0</v>
      </c>
    </row>
    <row r="206" spans="1:8" x14ac:dyDescent="0.35">
      <c r="A206" t="s">
        <v>811</v>
      </c>
      <c r="B206" s="1">
        <v>0</v>
      </c>
      <c r="C206" s="1">
        <v>0</v>
      </c>
      <c r="D206" s="1">
        <v>0</v>
      </c>
      <c r="E206">
        <v>0</v>
      </c>
      <c r="F206">
        <v>0</v>
      </c>
      <c r="G206">
        <v>0</v>
      </c>
      <c r="H206" s="1">
        <v>0</v>
      </c>
    </row>
    <row r="207" spans="1:8" x14ac:dyDescent="0.35">
      <c r="A207" t="s">
        <v>814</v>
      </c>
      <c r="B207" s="1">
        <v>0</v>
      </c>
      <c r="C207" s="1">
        <v>0</v>
      </c>
      <c r="D207" s="1">
        <v>0</v>
      </c>
      <c r="E207">
        <v>0</v>
      </c>
      <c r="F207">
        <v>0</v>
      </c>
      <c r="G207">
        <v>0</v>
      </c>
      <c r="H207" s="1">
        <v>0</v>
      </c>
    </row>
    <row r="208" spans="1:8" x14ac:dyDescent="0.35">
      <c r="A208" t="s">
        <v>820</v>
      </c>
      <c r="B208" s="1">
        <v>0</v>
      </c>
      <c r="C208" s="1">
        <v>0</v>
      </c>
      <c r="D208" s="1">
        <v>0</v>
      </c>
      <c r="E208">
        <v>0</v>
      </c>
      <c r="F208">
        <v>0</v>
      </c>
      <c r="G208">
        <v>0</v>
      </c>
      <c r="H208" s="1">
        <v>0</v>
      </c>
    </row>
    <row r="209" spans="1:8" x14ac:dyDescent="0.35">
      <c r="A209" t="s">
        <v>823</v>
      </c>
      <c r="B209" s="1">
        <v>0</v>
      </c>
      <c r="C209" s="1">
        <v>0</v>
      </c>
      <c r="D209" s="1">
        <v>0</v>
      </c>
      <c r="E209">
        <v>0</v>
      </c>
      <c r="F209">
        <v>0</v>
      </c>
      <c r="G209">
        <v>0</v>
      </c>
      <c r="H209" s="1">
        <v>0</v>
      </c>
    </row>
    <row r="210" spans="1:8" x14ac:dyDescent="0.35">
      <c r="A210" t="s">
        <v>826</v>
      </c>
      <c r="B210" s="1">
        <v>0</v>
      </c>
      <c r="C210" s="1">
        <v>0</v>
      </c>
      <c r="D210" s="1">
        <v>0</v>
      </c>
      <c r="E210">
        <v>0</v>
      </c>
      <c r="F210">
        <v>0</v>
      </c>
      <c r="G210">
        <v>0</v>
      </c>
      <c r="H210" s="1">
        <v>0</v>
      </c>
    </row>
    <row r="211" spans="1:8" x14ac:dyDescent="0.35">
      <c r="A211" t="s">
        <v>832</v>
      </c>
      <c r="B211" s="1">
        <v>0</v>
      </c>
      <c r="C211" s="1">
        <v>0</v>
      </c>
      <c r="D211" s="1">
        <v>0</v>
      </c>
      <c r="E211">
        <v>0</v>
      </c>
      <c r="F211">
        <v>0</v>
      </c>
      <c r="G211">
        <v>0</v>
      </c>
      <c r="H211" s="1">
        <v>0</v>
      </c>
    </row>
    <row r="212" spans="1:8" x14ac:dyDescent="0.35">
      <c r="A212" t="s">
        <v>835</v>
      </c>
      <c r="B212" s="1">
        <v>0</v>
      </c>
      <c r="C212" s="1">
        <v>0</v>
      </c>
      <c r="D212" s="1">
        <v>0</v>
      </c>
      <c r="E212">
        <v>0</v>
      </c>
      <c r="F212">
        <v>0</v>
      </c>
      <c r="G212">
        <v>0</v>
      </c>
      <c r="H212" s="1">
        <v>0</v>
      </c>
    </row>
    <row r="213" spans="1:8" x14ac:dyDescent="0.35">
      <c r="A213" t="s">
        <v>838</v>
      </c>
      <c r="B213" s="1">
        <v>0</v>
      </c>
      <c r="C213" s="1">
        <v>0</v>
      </c>
      <c r="D213" s="1">
        <v>0</v>
      </c>
      <c r="E213">
        <v>0</v>
      </c>
      <c r="F213">
        <v>0</v>
      </c>
      <c r="G213">
        <v>0</v>
      </c>
      <c r="H213" s="1">
        <v>0</v>
      </c>
    </row>
    <row r="214" spans="1:8" x14ac:dyDescent="0.35">
      <c r="A214" t="s">
        <v>841</v>
      </c>
      <c r="B214" s="1">
        <v>0</v>
      </c>
      <c r="C214" s="1">
        <v>0</v>
      </c>
      <c r="D214" s="1">
        <v>0</v>
      </c>
      <c r="E214">
        <v>0</v>
      </c>
      <c r="F214">
        <v>0</v>
      </c>
      <c r="G214">
        <v>0</v>
      </c>
      <c r="H214" s="1">
        <v>0</v>
      </c>
    </row>
    <row r="215" spans="1:8" x14ac:dyDescent="0.35">
      <c r="A215" t="s">
        <v>844</v>
      </c>
      <c r="B215" s="1">
        <v>0</v>
      </c>
      <c r="C215" s="1">
        <v>0</v>
      </c>
      <c r="D215" s="1">
        <v>0</v>
      </c>
      <c r="E215">
        <v>0</v>
      </c>
      <c r="F215">
        <v>0</v>
      </c>
      <c r="G215">
        <v>0</v>
      </c>
      <c r="H215" s="1">
        <v>0</v>
      </c>
    </row>
    <row r="216" spans="1:8" x14ac:dyDescent="0.35">
      <c r="A216" t="s">
        <v>847</v>
      </c>
      <c r="B216" s="1">
        <v>0</v>
      </c>
      <c r="C216" s="1">
        <v>0</v>
      </c>
      <c r="D216" s="1">
        <v>0</v>
      </c>
      <c r="E216">
        <v>0</v>
      </c>
      <c r="F216">
        <v>0</v>
      </c>
      <c r="G216">
        <v>0</v>
      </c>
      <c r="H216" s="1">
        <v>0</v>
      </c>
    </row>
    <row r="217" spans="1:8" x14ac:dyDescent="0.35">
      <c r="A217" t="s">
        <v>850</v>
      </c>
      <c r="B217" s="1">
        <v>0</v>
      </c>
      <c r="C217" s="1">
        <v>0</v>
      </c>
      <c r="D217" s="1">
        <v>0</v>
      </c>
      <c r="E217">
        <v>0</v>
      </c>
      <c r="F217">
        <v>0</v>
      </c>
      <c r="G217">
        <v>0</v>
      </c>
      <c r="H217" s="1">
        <v>0</v>
      </c>
    </row>
    <row r="218" spans="1:8" x14ac:dyDescent="0.35">
      <c r="A218" t="s">
        <v>853</v>
      </c>
      <c r="B218" s="1">
        <v>0</v>
      </c>
      <c r="C218" s="1">
        <v>0</v>
      </c>
      <c r="D218" s="1">
        <v>0</v>
      </c>
      <c r="E218">
        <v>0</v>
      </c>
      <c r="F218">
        <v>0</v>
      </c>
      <c r="G218">
        <v>0</v>
      </c>
      <c r="H218" s="1">
        <v>0</v>
      </c>
    </row>
    <row r="219" spans="1:8" x14ac:dyDescent="0.35">
      <c r="A219" t="s">
        <v>862</v>
      </c>
      <c r="B219" s="1">
        <v>0</v>
      </c>
      <c r="C219" s="1">
        <v>0</v>
      </c>
      <c r="D219" s="1">
        <v>0</v>
      </c>
      <c r="E219">
        <v>0</v>
      </c>
      <c r="F219">
        <v>0</v>
      </c>
      <c r="G219">
        <v>0</v>
      </c>
      <c r="H219" s="1">
        <v>0</v>
      </c>
    </row>
    <row r="220" spans="1:8" x14ac:dyDescent="0.35">
      <c r="A220" t="s">
        <v>868</v>
      </c>
      <c r="B220" s="1">
        <v>0</v>
      </c>
      <c r="C220" s="1">
        <v>0</v>
      </c>
      <c r="D220" s="1">
        <v>0</v>
      </c>
      <c r="E220">
        <v>0</v>
      </c>
      <c r="F220">
        <v>0</v>
      </c>
      <c r="G220">
        <v>0</v>
      </c>
      <c r="H220" s="1">
        <v>0</v>
      </c>
    </row>
    <row r="221" spans="1:8" x14ac:dyDescent="0.35">
      <c r="A221" t="s">
        <v>874</v>
      </c>
      <c r="B221" s="1">
        <v>0</v>
      </c>
      <c r="C221" s="1">
        <v>0</v>
      </c>
      <c r="D221" s="1">
        <v>0</v>
      </c>
      <c r="E221">
        <v>0</v>
      </c>
      <c r="F221">
        <v>0</v>
      </c>
      <c r="G221">
        <v>0</v>
      </c>
      <c r="H221" s="1">
        <v>0</v>
      </c>
    </row>
    <row r="222" spans="1:8" x14ac:dyDescent="0.35">
      <c r="A222" t="s">
        <v>880</v>
      </c>
      <c r="B222" s="1">
        <v>0</v>
      </c>
      <c r="C222" s="1">
        <v>0</v>
      </c>
      <c r="D222" s="1">
        <v>0</v>
      </c>
      <c r="E222">
        <v>0</v>
      </c>
      <c r="F222">
        <v>0</v>
      </c>
      <c r="G222">
        <v>0</v>
      </c>
      <c r="H222" s="1">
        <v>0</v>
      </c>
    </row>
    <row r="223" spans="1:8" x14ac:dyDescent="0.35">
      <c r="A223" t="s">
        <v>883</v>
      </c>
      <c r="B223" s="1">
        <v>0</v>
      </c>
      <c r="C223" s="1">
        <v>0</v>
      </c>
      <c r="D223" s="1">
        <v>0</v>
      </c>
      <c r="E223">
        <v>0</v>
      </c>
      <c r="F223">
        <v>0</v>
      </c>
      <c r="G223">
        <v>0</v>
      </c>
      <c r="H223" s="1">
        <v>0</v>
      </c>
    </row>
    <row r="224" spans="1:8" x14ac:dyDescent="0.35">
      <c r="A224" t="s">
        <v>886</v>
      </c>
      <c r="B224" s="1">
        <v>0</v>
      </c>
      <c r="C224" s="1">
        <v>0</v>
      </c>
      <c r="D224" s="1">
        <v>0</v>
      </c>
      <c r="E224">
        <v>0</v>
      </c>
      <c r="F224">
        <v>0</v>
      </c>
      <c r="G224">
        <v>0</v>
      </c>
      <c r="H224" s="1">
        <v>0</v>
      </c>
    </row>
    <row r="225" spans="1:8" x14ac:dyDescent="0.35">
      <c r="A225" t="s">
        <v>889</v>
      </c>
      <c r="B225" s="1">
        <v>0</v>
      </c>
      <c r="C225" s="1">
        <v>0</v>
      </c>
      <c r="D225" s="1">
        <v>0</v>
      </c>
      <c r="E225">
        <v>0</v>
      </c>
      <c r="F225">
        <v>0</v>
      </c>
      <c r="G225">
        <v>0</v>
      </c>
      <c r="H225" s="1">
        <v>0</v>
      </c>
    </row>
    <row r="226" spans="1:8" x14ac:dyDescent="0.35">
      <c r="A226" t="s">
        <v>892</v>
      </c>
      <c r="B226" s="1">
        <v>0</v>
      </c>
      <c r="C226" s="1">
        <v>0</v>
      </c>
      <c r="D226" s="1">
        <v>0</v>
      </c>
      <c r="E226">
        <v>0</v>
      </c>
      <c r="F226">
        <v>0</v>
      </c>
      <c r="G226">
        <v>0</v>
      </c>
      <c r="H226" s="1">
        <v>0</v>
      </c>
    </row>
    <row r="227" spans="1:8" x14ac:dyDescent="0.35">
      <c r="A227" t="s">
        <v>901</v>
      </c>
      <c r="B227" s="1">
        <v>0</v>
      </c>
      <c r="C227" s="1">
        <v>0</v>
      </c>
      <c r="D227" s="1">
        <v>0</v>
      </c>
      <c r="E227">
        <v>0</v>
      </c>
      <c r="F227">
        <v>0</v>
      </c>
      <c r="G227">
        <v>0</v>
      </c>
      <c r="H227" s="1">
        <v>0</v>
      </c>
    </row>
    <row r="228" spans="1:8" x14ac:dyDescent="0.35">
      <c r="A228" t="s">
        <v>904</v>
      </c>
      <c r="B228" s="1">
        <v>0</v>
      </c>
      <c r="C228" s="1">
        <v>0</v>
      </c>
      <c r="D228" s="1">
        <v>0</v>
      </c>
      <c r="E228">
        <v>0</v>
      </c>
      <c r="F228">
        <v>0</v>
      </c>
      <c r="G228">
        <v>0</v>
      </c>
      <c r="H228" s="1">
        <v>0</v>
      </c>
    </row>
    <row r="229" spans="1:8" x14ac:dyDescent="0.35">
      <c r="A229" t="s">
        <v>907</v>
      </c>
      <c r="B229" s="1">
        <v>0</v>
      </c>
      <c r="C229" s="1">
        <v>0</v>
      </c>
      <c r="D229" s="1">
        <v>0</v>
      </c>
      <c r="E229">
        <v>0</v>
      </c>
      <c r="F229">
        <v>0</v>
      </c>
      <c r="G229">
        <v>0</v>
      </c>
      <c r="H229" s="1">
        <v>0</v>
      </c>
    </row>
    <row r="230" spans="1:8" x14ac:dyDescent="0.35">
      <c r="A230" t="s">
        <v>910</v>
      </c>
      <c r="B230" s="1">
        <v>0</v>
      </c>
      <c r="C230" s="1">
        <v>0</v>
      </c>
      <c r="D230" s="1">
        <v>0</v>
      </c>
      <c r="E230">
        <v>0</v>
      </c>
      <c r="F230">
        <v>0</v>
      </c>
      <c r="G230">
        <v>0</v>
      </c>
      <c r="H230" s="1">
        <v>0</v>
      </c>
    </row>
    <row r="231" spans="1:8" x14ac:dyDescent="0.35">
      <c r="A231" t="s">
        <v>913</v>
      </c>
      <c r="B231" s="1">
        <v>0</v>
      </c>
      <c r="C231" s="1">
        <v>0</v>
      </c>
      <c r="D231" s="1">
        <v>0</v>
      </c>
      <c r="E231">
        <v>0</v>
      </c>
      <c r="F231">
        <v>0</v>
      </c>
      <c r="G231">
        <v>0</v>
      </c>
      <c r="H231" s="1">
        <v>0</v>
      </c>
    </row>
    <row r="232" spans="1:8" x14ac:dyDescent="0.35">
      <c r="A232" t="s">
        <v>928</v>
      </c>
      <c r="B232" s="1">
        <v>0</v>
      </c>
      <c r="C232" s="1">
        <v>0</v>
      </c>
      <c r="D232" s="1">
        <v>0</v>
      </c>
      <c r="E232">
        <v>0</v>
      </c>
      <c r="F232">
        <v>0</v>
      </c>
      <c r="G232">
        <v>0</v>
      </c>
      <c r="H232" s="1">
        <v>0</v>
      </c>
    </row>
    <row r="233" spans="1:8" x14ac:dyDescent="0.35">
      <c r="A233" t="s">
        <v>931</v>
      </c>
      <c r="B233" s="1">
        <v>0</v>
      </c>
      <c r="C233" s="1">
        <v>0</v>
      </c>
      <c r="D233" s="1">
        <v>0</v>
      </c>
      <c r="E233">
        <v>0</v>
      </c>
      <c r="F233">
        <v>0</v>
      </c>
      <c r="G233">
        <v>0</v>
      </c>
      <c r="H233" s="1">
        <v>0</v>
      </c>
    </row>
    <row r="234" spans="1:8" x14ac:dyDescent="0.35">
      <c r="A234" t="s">
        <v>934</v>
      </c>
      <c r="B234" s="1">
        <v>0</v>
      </c>
      <c r="C234" s="1">
        <v>0</v>
      </c>
      <c r="D234" s="1">
        <v>0</v>
      </c>
      <c r="E234">
        <v>0</v>
      </c>
      <c r="F234">
        <v>0</v>
      </c>
      <c r="G234">
        <v>0</v>
      </c>
      <c r="H234" s="1">
        <v>0</v>
      </c>
    </row>
    <row r="235" spans="1:8" x14ac:dyDescent="0.35">
      <c r="A235" t="s">
        <v>943</v>
      </c>
      <c r="B235" s="1">
        <v>0</v>
      </c>
      <c r="C235" s="1">
        <v>0</v>
      </c>
      <c r="D235" s="1">
        <v>0</v>
      </c>
      <c r="E235">
        <v>0</v>
      </c>
      <c r="F235">
        <v>0</v>
      </c>
      <c r="G235">
        <v>0</v>
      </c>
      <c r="H235" s="1">
        <v>0</v>
      </c>
    </row>
    <row r="236" spans="1:8" x14ac:dyDescent="0.35">
      <c r="A236" t="s">
        <v>949</v>
      </c>
      <c r="B236" s="1">
        <v>0</v>
      </c>
      <c r="C236" s="1">
        <v>0</v>
      </c>
      <c r="D236" s="1">
        <v>0</v>
      </c>
      <c r="E236">
        <v>0</v>
      </c>
      <c r="F236">
        <v>0</v>
      </c>
      <c r="G236">
        <v>0</v>
      </c>
      <c r="H236" s="1">
        <v>0</v>
      </c>
    </row>
    <row r="237" spans="1:8" x14ac:dyDescent="0.35">
      <c r="A237" t="s">
        <v>952</v>
      </c>
      <c r="B237" s="1">
        <v>0</v>
      </c>
      <c r="C237" s="1">
        <v>0</v>
      </c>
      <c r="D237" s="1">
        <v>0</v>
      </c>
      <c r="E237">
        <v>0</v>
      </c>
      <c r="F237">
        <v>0</v>
      </c>
      <c r="G237">
        <v>0</v>
      </c>
      <c r="H237" s="1">
        <v>0</v>
      </c>
    </row>
    <row r="238" spans="1:8" x14ac:dyDescent="0.35">
      <c r="A238" t="s">
        <v>955</v>
      </c>
      <c r="B238" s="1">
        <v>0</v>
      </c>
      <c r="C238" s="1">
        <v>0</v>
      </c>
      <c r="D238" s="1">
        <v>0</v>
      </c>
      <c r="E238">
        <v>0</v>
      </c>
      <c r="F238">
        <v>0</v>
      </c>
      <c r="G238">
        <v>0</v>
      </c>
      <c r="H238" s="1">
        <v>0</v>
      </c>
    </row>
    <row r="239" spans="1:8" x14ac:dyDescent="0.35">
      <c r="A239" t="s">
        <v>958</v>
      </c>
      <c r="B239" s="1">
        <v>0</v>
      </c>
      <c r="C239" s="1">
        <v>0</v>
      </c>
      <c r="D239" s="1">
        <v>0</v>
      </c>
      <c r="E239">
        <v>0</v>
      </c>
      <c r="F239">
        <v>0</v>
      </c>
      <c r="G239">
        <v>0</v>
      </c>
      <c r="H239" s="1">
        <v>0</v>
      </c>
    </row>
    <row r="240" spans="1:8" x14ac:dyDescent="0.35">
      <c r="A240" t="s">
        <v>982</v>
      </c>
      <c r="B240" s="1">
        <v>0</v>
      </c>
      <c r="C240" s="1">
        <v>0</v>
      </c>
      <c r="D240" s="1">
        <v>0</v>
      </c>
      <c r="E240">
        <v>0</v>
      </c>
      <c r="F240">
        <v>0</v>
      </c>
      <c r="G240">
        <v>0</v>
      </c>
      <c r="H240" s="1">
        <v>0</v>
      </c>
    </row>
    <row r="241" spans="1:8" x14ac:dyDescent="0.35">
      <c r="A241" t="s">
        <v>991</v>
      </c>
      <c r="B241" s="1">
        <v>0</v>
      </c>
      <c r="C241" s="1">
        <v>0</v>
      </c>
      <c r="D241" s="1">
        <v>0</v>
      </c>
      <c r="E241">
        <v>0</v>
      </c>
      <c r="F241">
        <v>0</v>
      </c>
      <c r="G241">
        <v>0</v>
      </c>
      <c r="H241" s="1">
        <v>0</v>
      </c>
    </row>
    <row r="242" spans="1:8" x14ac:dyDescent="0.35">
      <c r="A242" t="s">
        <v>994</v>
      </c>
      <c r="B242" s="1">
        <v>0</v>
      </c>
      <c r="C242" s="1">
        <v>0</v>
      </c>
      <c r="D242" s="1">
        <v>0</v>
      </c>
      <c r="E242">
        <v>0</v>
      </c>
      <c r="F242">
        <v>0</v>
      </c>
      <c r="G242">
        <v>0</v>
      </c>
      <c r="H242" s="1">
        <v>0</v>
      </c>
    </row>
    <row r="243" spans="1:8" x14ac:dyDescent="0.35">
      <c r="A243" t="s">
        <v>997</v>
      </c>
      <c r="B243" s="1">
        <v>0</v>
      </c>
      <c r="C243" s="1">
        <v>0</v>
      </c>
      <c r="D243" s="1">
        <v>0</v>
      </c>
      <c r="E243">
        <v>0</v>
      </c>
      <c r="F243">
        <v>0</v>
      </c>
      <c r="G243">
        <v>0</v>
      </c>
      <c r="H243" s="1">
        <v>0</v>
      </c>
    </row>
    <row r="244" spans="1:8" x14ac:dyDescent="0.35">
      <c r="A244" t="s">
        <v>1033</v>
      </c>
      <c r="B244" s="1">
        <v>0</v>
      </c>
      <c r="C244" s="1">
        <v>0</v>
      </c>
      <c r="D244" s="1">
        <v>0</v>
      </c>
      <c r="E244">
        <v>0</v>
      </c>
      <c r="F244">
        <v>0</v>
      </c>
      <c r="G244">
        <v>0</v>
      </c>
      <c r="H244" s="1">
        <v>0</v>
      </c>
    </row>
    <row r="245" spans="1:8" x14ac:dyDescent="0.35">
      <c r="A245" t="s">
        <v>1048</v>
      </c>
      <c r="B245" s="1">
        <v>0</v>
      </c>
      <c r="C245" s="1">
        <v>0</v>
      </c>
      <c r="D245" s="1">
        <v>0</v>
      </c>
      <c r="E245">
        <v>0</v>
      </c>
      <c r="F245">
        <v>0</v>
      </c>
      <c r="G245">
        <v>0</v>
      </c>
      <c r="H245" s="1">
        <v>0</v>
      </c>
    </row>
    <row r="246" spans="1:8" x14ac:dyDescent="0.35">
      <c r="A246" t="s">
        <v>1057</v>
      </c>
      <c r="B246" s="1">
        <v>0</v>
      </c>
      <c r="C246" s="1">
        <v>0</v>
      </c>
      <c r="D246" s="1">
        <v>0</v>
      </c>
      <c r="E246">
        <v>0</v>
      </c>
      <c r="F246">
        <v>0</v>
      </c>
      <c r="G246">
        <v>0</v>
      </c>
      <c r="H246" s="1">
        <v>0</v>
      </c>
    </row>
    <row r="247" spans="1:8" x14ac:dyDescent="0.35">
      <c r="A247" t="s">
        <v>1059</v>
      </c>
      <c r="B247" s="1">
        <v>0</v>
      </c>
      <c r="C247" s="1">
        <v>0</v>
      </c>
      <c r="D247" s="1">
        <v>0</v>
      </c>
      <c r="E247">
        <v>0</v>
      </c>
      <c r="F247">
        <v>0</v>
      </c>
      <c r="G247">
        <v>0</v>
      </c>
      <c r="H247" s="1">
        <v>0</v>
      </c>
    </row>
    <row r="248" spans="1:8" x14ac:dyDescent="0.35">
      <c r="A248" t="s">
        <v>1068</v>
      </c>
      <c r="B248" s="1">
        <v>0</v>
      </c>
      <c r="C248" s="1">
        <v>0</v>
      </c>
      <c r="D248" s="1">
        <v>0</v>
      </c>
      <c r="E248">
        <v>0</v>
      </c>
      <c r="F248">
        <v>0</v>
      </c>
      <c r="G248">
        <v>0</v>
      </c>
      <c r="H248" s="1">
        <v>0</v>
      </c>
    </row>
    <row r="249" spans="1:8" x14ac:dyDescent="0.35">
      <c r="A249" t="s">
        <v>1074</v>
      </c>
      <c r="B249" s="1">
        <v>0</v>
      </c>
      <c r="C249" s="1">
        <v>0</v>
      </c>
      <c r="D249" s="1">
        <v>0</v>
      </c>
      <c r="E249">
        <v>0</v>
      </c>
      <c r="F249">
        <v>0</v>
      </c>
      <c r="G249">
        <v>0</v>
      </c>
      <c r="H249" s="1">
        <v>0</v>
      </c>
    </row>
    <row r="250" spans="1:8" x14ac:dyDescent="0.35">
      <c r="A250" t="s">
        <v>1077</v>
      </c>
      <c r="B250" s="1">
        <v>0</v>
      </c>
      <c r="C250" s="1">
        <v>0</v>
      </c>
      <c r="D250" s="1">
        <v>0</v>
      </c>
      <c r="E250">
        <v>0</v>
      </c>
      <c r="F250">
        <v>0</v>
      </c>
      <c r="G250">
        <v>0</v>
      </c>
      <c r="H250" s="1">
        <v>0</v>
      </c>
    </row>
    <row r="251" spans="1:8" x14ac:dyDescent="0.35">
      <c r="A251" t="s">
        <v>1080</v>
      </c>
      <c r="B251" s="1">
        <v>0</v>
      </c>
      <c r="C251" s="1">
        <v>0</v>
      </c>
      <c r="D251" s="1">
        <v>0</v>
      </c>
      <c r="E251">
        <v>0</v>
      </c>
      <c r="F251">
        <v>0</v>
      </c>
      <c r="G251">
        <v>0</v>
      </c>
      <c r="H251" s="1">
        <v>0</v>
      </c>
    </row>
    <row r="252" spans="1:8" x14ac:dyDescent="0.35">
      <c r="A252" t="s">
        <v>1083</v>
      </c>
      <c r="B252" s="1">
        <v>0</v>
      </c>
      <c r="C252" s="1">
        <v>0</v>
      </c>
      <c r="D252" s="1">
        <v>0</v>
      </c>
      <c r="E252">
        <v>0</v>
      </c>
      <c r="F252">
        <v>0</v>
      </c>
      <c r="G252">
        <v>0</v>
      </c>
      <c r="H252" s="1">
        <v>0</v>
      </c>
    </row>
    <row r="253" spans="1:8" x14ac:dyDescent="0.35">
      <c r="A253" t="s">
        <v>1085</v>
      </c>
      <c r="B253" s="1">
        <v>0</v>
      </c>
      <c r="C253" s="1">
        <v>0</v>
      </c>
      <c r="D253" s="1">
        <v>0</v>
      </c>
      <c r="E253">
        <v>0</v>
      </c>
      <c r="F253">
        <v>0</v>
      </c>
      <c r="G253">
        <v>0</v>
      </c>
      <c r="H253" s="1">
        <v>0</v>
      </c>
    </row>
    <row r="254" spans="1:8" x14ac:dyDescent="0.35">
      <c r="A254" t="s">
        <v>1088</v>
      </c>
      <c r="B254" s="1">
        <v>0</v>
      </c>
      <c r="C254" s="1">
        <v>0</v>
      </c>
      <c r="D254" s="1">
        <v>0</v>
      </c>
      <c r="E254">
        <v>0</v>
      </c>
      <c r="F254">
        <v>0</v>
      </c>
      <c r="G254">
        <v>0</v>
      </c>
      <c r="H254" s="1">
        <v>0</v>
      </c>
    </row>
    <row r="255" spans="1:8" x14ac:dyDescent="0.35">
      <c r="A255" t="s">
        <v>1094</v>
      </c>
      <c r="B255" s="1">
        <v>0</v>
      </c>
      <c r="C255" s="1">
        <v>0</v>
      </c>
      <c r="D255" s="1">
        <v>0</v>
      </c>
      <c r="E255">
        <v>0</v>
      </c>
      <c r="F255">
        <v>0</v>
      </c>
      <c r="G255">
        <v>0</v>
      </c>
      <c r="H255" s="1">
        <v>0</v>
      </c>
    </row>
    <row r="256" spans="1:8" x14ac:dyDescent="0.35">
      <c r="A256" t="s">
        <v>1097</v>
      </c>
      <c r="B256" s="1">
        <v>0</v>
      </c>
      <c r="C256" s="1">
        <v>0</v>
      </c>
      <c r="D256" s="1">
        <v>0</v>
      </c>
      <c r="E256">
        <v>0</v>
      </c>
      <c r="F256">
        <v>0</v>
      </c>
      <c r="G256">
        <v>0</v>
      </c>
      <c r="H256" s="1">
        <v>0</v>
      </c>
    </row>
    <row r="257" spans="1:8" x14ac:dyDescent="0.35">
      <c r="A257" t="s">
        <v>1100</v>
      </c>
      <c r="B257" s="1">
        <v>0</v>
      </c>
      <c r="C257" s="1">
        <v>0</v>
      </c>
      <c r="D257" s="1">
        <v>0</v>
      </c>
      <c r="E257">
        <v>0</v>
      </c>
      <c r="F257">
        <v>0</v>
      </c>
      <c r="G257">
        <v>0</v>
      </c>
      <c r="H257" s="1">
        <v>0</v>
      </c>
    </row>
    <row r="258" spans="1:8" x14ac:dyDescent="0.35">
      <c r="A258" t="s">
        <v>1103</v>
      </c>
      <c r="B258" s="1">
        <v>0</v>
      </c>
      <c r="C258" s="1">
        <v>0</v>
      </c>
      <c r="D258" s="1">
        <v>0</v>
      </c>
      <c r="E258">
        <v>0</v>
      </c>
      <c r="F258">
        <v>0</v>
      </c>
      <c r="G258">
        <v>0</v>
      </c>
      <c r="H258" s="1">
        <v>0</v>
      </c>
    </row>
    <row r="259" spans="1:8" x14ac:dyDescent="0.35">
      <c r="A259" t="s">
        <v>1106</v>
      </c>
      <c r="B259" s="1">
        <v>0</v>
      </c>
      <c r="C259" s="1">
        <v>0</v>
      </c>
      <c r="D259" s="1">
        <v>0</v>
      </c>
      <c r="E259">
        <v>0</v>
      </c>
      <c r="F259">
        <v>0</v>
      </c>
      <c r="G259">
        <v>0</v>
      </c>
      <c r="H259" s="1">
        <v>0</v>
      </c>
    </row>
    <row r="260" spans="1:8" x14ac:dyDescent="0.35">
      <c r="A260" t="s">
        <v>1109</v>
      </c>
      <c r="B260" s="1">
        <v>0</v>
      </c>
      <c r="C260" s="1">
        <v>0</v>
      </c>
      <c r="D260" s="1">
        <v>0</v>
      </c>
      <c r="E260">
        <v>0</v>
      </c>
      <c r="F260">
        <v>0</v>
      </c>
      <c r="G260">
        <v>0</v>
      </c>
      <c r="H260" s="1">
        <v>0</v>
      </c>
    </row>
    <row r="261" spans="1:8" x14ac:dyDescent="0.35">
      <c r="A261" t="s">
        <v>1112</v>
      </c>
      <c r="B261" s="1">
        <v>0</v>
      </c>
      <c r="C261" s="1">
        <v>0</v>
      </c>
      <c r="D261" s="1">
        <v>0</v>
      </c>
      <c r="E261">
        <v>0</v>
      </c>
      <c r="F261">
        <v>0</v>
      </c>
      <c r="G261">
        <v>0</v>
      </c>
      <c r="H261" s="1">
        <v>0</v>
      </c>
    </row>
    <row r="262" spans="1:8" x14ac:dyDescent="0.35">
      <c r="A262" t="s">
        <v>1115</v>
      </c>
      <c r="B262" s="1">
        <v>0</v>
      </c>
      <c r="C262" s="1">
        <v>0</v>
      </c>
      <c r="D262" s="1">
        <v>0</v>
      </c>
      <c r="E262">
        <v>0</v>
      </c>
      <c r="F262">
        <v>0</v>
      </c>
      <c r="G262">
        <v>0</v>
      </c>
      <c r="H262" s="1">
        <v>0</v>
      </c>
    </row>
    <row r="263" spans="1:8" x14ac:dyDescent="0.35">
      <c r="A263" t="s">
        <v>1118</v>
      </c>
      <c r="B263" s="1">
        <v>0</v>
      </c>
      <c r="C263" s="1">
        <v>0</v>
      </c>
      <c r="D263" s="1">
        <v>0</v>
      </c>
      <c r="E263">
        <v>0</v>
      </c>
      <c r="F263">
        <v>0</v>
      </c>
      <c r="G263">
        <v>0</v>
      </c>
      <c r="H263" s="1">
        <v>0</v>
      </c>
    </row>
    <row r="264" spans="1:8" x14ac:dyDescent="0.35">
      <c r="A264" t="s">
        <v>1127</v>
      </c>
      <c r="B264" s="1">
        <v>0</v>
      </c>
      <c r="C264" s="1">
        <v>0</v>
      </c>
      <c r="D264" s="1">
        <v>0</v>
      </c>
      <c r="E264">
        <v>0</v>
      </c>
      <c r="F264">
        <v>0</v>
      </c>
      <c r="G264">
        <v>0</v>
      </c>
      <c r="H264" s="1">
        <v>0</v>
      </c>
    </row>
    <row r="265" spans="1:8" x14ac:dyDescent="0.35">
      <c r="A265" t="s">
        <v>1133</v>
      </c>
      <c r="B265" s="1">
        <v>0</v>
      </c>
      <c r="C265" s="1">
        <v>0</v>
      </c>
      <c r="D265" s="1">
        <v>0</v>
      </c>
      <c r="E265">
        <v>0</v>
      </c>
      <c r="F265">
        <v>0</v>
      </c>
      <c r="G265">
        <v>0</v>
      </c>
      <c r="H265" s="1">
        <v>0</v>
      </c>
    </row>
    <row r="266" spans="1:8" x14ac:dyDescent="0.35">
      <c r="A266" t="s">
        <v>1142</v>
      </c>
      <c r="B266" s="1">
        <v>0</v>
      </c>
      <c r="C266" s="1">
        <v>0</v>
      </c>
      <c r="D266" s="1">
        <v>0</v>
      </c>
      <c r="E266">
        <v>0</v>
      </c>
      <c r="F266">
        <v>0</v>
      </c>
      <c r="G266">
        <v>0</v>
      </c>
      <c r="H266" s="1">
        <v>0</v>
      </c>
    </row>
    <row r="267" spans="1:8" x14ac:dyDescent="0.35">
      <c r="A267" t="s">
        <v>1145</v>
      </c>
      <c r="B267" s="1">
        <v>0</v>
      </c>
      <c r="C267" s="1">
        <v>0</v>
      </c>
      <c r="D267" s="1">
        <v>0</v>
      </c>
      <c r="E267">
        <v>0</v>
      </c>
      <c r="F267">
        <v>0</v>
      </c>
      <c r="G267">
        <v>0</v>
      </c>
      <c r="H267" s="1">
        <v>0</v>
      </c>
    </row>
    <row r="268" spans="1:8" x14ac:dyDescent="0.35">
      <c r="A268" t="s">
        <v>1148</v>
      </c>
      <c r="B268" s="1">
        <v>0</v>
      </c>
      <c r="C268" s="1">
        <v>0</v>
      </c>
      <c r="D268" s="1">
        <v>0</v>
      </c>
      <c r="E268">
        <v>0</v>
      </c>
      <c r="F268">
        <v>0</v>
      </c>
      <c r="G268">
        <v>0</v>
      </c>
      <c r="H268" s="1">
        <v>0</v>
      </c>
    </row>
    <row r="269" spans="1:8" x14ac:dyDescent="0.35">
      <c r="A269" t="s">
        <v>1151</v>
      </c>
      <c r="B269" s="1">
        <v>0</v>
      </c>
      <c r="C269" s="1">
        <v>0</v>
      </c>
      <c r="D269" s="1">
        <v>0</v>
      </c>
      <c r="E269">
        <v>0</v>
      </c>
      <c r="F269">
        <v>0</v>
      </c>
      <c r="G269">
        <v>0</v>
      </c>
      <c r="H269" s="1">
        <v>0</v>
      </c>
    </row>
    <row r="270" spans="1:8" x14ac:dyDescent="0.35">
      <c r="A270" t="s">
        <v>1154</v>
      </c>
      <c r="B270" s="1">
        <v>0</v>
      </c>
      <c r="C270" s="1">
        <v>0</v>
      </c>
      <c r="D270" s="1">
        <v>0</v>
      </c>
      <c r="E270">
        <v>0</v>
      </c>
      <c r="F270">
        <v>0</v>
      </c>
      <c r="G270">
        <v>0</v>
      </c>
      <c r="H270" s="1">
        <v>0</v>
      </c>
    </row>
    <row r="271" spans="1:8" x14ac:dyDescent="0.35">
      <c r="A271" t="s">
        <v>1157</v>
      </c>
      <c r="B271" s="1">
        <v>0</v>
      </c>
      <c r="C271" s="1">
        <v>0</v>
      </c>
      <c r="D271" s="1">
        <v>0</v>
      </c>
      <c r="E271">
        <v>0</v>
      </c>
      <c r="F271">
        <v>0</v>
      </c>
      <c r="G271">
        <v>0</v>
      </c>
      <c r="H271" s="1">
        <v>0</v>
      </c>
    </row>
    <row r="272" spans="1:8" x14ac:dyDescent="0.35">
      <c r="A272" t="s">
        <v>1172</v>
      </c>
      <c r="B272" s="1">
        <v>0</v>
      </c>
      <c r="C272" s="1">
        <v>0</v>
      </c>
      <c r="D272" s="1">
        <v>0</v>
      </c>
      <c r="E272">
        <v>0</v>
      </c>
      <c r="F272">
        <v>0</v>
      </c>
      <c r="G272">
        <v>0</v>
      </c>
      <c r="H272" s="1">
        <v>0</v>
      </c>
    </row>
    <row r="273" spans="1:8" x14ac:dyDescent="0.35">
      <c r="A273" t="s">
        <v>1175</v>
      </c>
      <c r="B273" s="1">
        <v>0</v>
      </c>
      <c r="C273" s="1">
        <v>0</v>
      </c>
      <c r="D273" s="1">
        <v>0</v>
      </c>
      <c r="E273">
        <v>0</v>
      </c>
      <c r="F273">
        <v>0</v>
      </c>
      <c r="G273">
        <v>0</v>
      </c>
      <c r="H273" s="1">
        <v>0</v>
      </c>
    </row>
    <row r="274" spans="1:8" x14ac:dyDescent="0.35">
      <c r="A274" t="s">
        <v>1178</v>
      </c>
      <c r="B274" s="1">
        <v>0</v>
      </c>
      <c r="C274" s="1">
        <v>0</v>
      </c>
      <c r="D274" s="1">
        <v>0</v>
      </c>
      <c r="E274">
        <v>0</v>
      </c>
      <c r="F274">
        <v>0</v>
      </c>
      <c r="G274">
        <v>0</v>
      </c>
      <c r="H274" s="1">
        <v>0</v>
      </c>
    </row>
    <row r="275" spans="1:8" x14ac:dyDescent="0.35">
      <c r="A275" t="s">
        <v>1184</v>
      </c>
      <c r="B275" s="1">
        <v>0</v>
      </c>
      <c r="C275" s="1">
        <v>0</v>
      </c>
      <c r="D275" s="1">
        <v>0</v>
      </c>
      <c r="E275">
        <v>0</v>
      </c>
      <c r="F275">
        <v>0</v>
      </c>
      <c r="G275">
        <v>0</v>
      </c>
      <c r="H275" s="1">
        <v>0</v>
      </c>
    </row>
    <row r="276" spans="1:8" x14ac:dyDescent="0.35">
      <c r="A276" t="s">
        <v>1190</v>
      </c>
      <c r="B276" s="1">
        <v>0</v>
      </c>
      <c r="C276" s="1">
        <v>0</v>
      </c>
      <c r="D276" s="1">
        <v>0</v>
      </c>
      <c r="E276">
        <v>0</v>
      </c>
      <c r="F276">
        <v>0</v>
      </c>
      <c r="G276">
        <v>0</v>
      </c>
      <c r="H276" s="1">
        <v>0</v>
      </c>
    </row>
    <row r="277" spans="1:8" x14ac:dyDescent="0.35">
      <c r="A277" t="s">
        <v>1193</v>
      </c>
      <c r="B277" s="1">
        <v>0</v>
      </c>
      <c r="C277" s="1">
        <v>0</v>
      </c>
      <c r="D277" s="1">
        <v>0</v>
      </c>
      <c r="E277">
        <v>0</v>
      </c>
      <c r="F277">
        <v>0</v>
      </c>
      <c r="G277">
        <v>0</v>
      </c>
      <c r="H277" s="1">
        <v>0</v>
      </c>
    </row>
    <row r="278" spans="1:8" x14ac:dyDescent="0.35">
      <c r="A278" t="s">
        <v>1196</v>
      </c>
      <c r="B278" s="1">
        <v>0</v>
      </c>
      <c r="C278" s="1">
        <v>0</v>
      </c>
      <c r="D278" s="1">
        <v>0</v>
      </c>
      <c r="E278">
        <v>0</v>
      </c>
      <c r="F278">
        <v>0</v>
      </c>
      <c r="G278">
        <v>0</v>
      </c>
      <c r="H278" s="1">
        <v>7668252769</v>
      </c>
    </row>
    <row r="279" spans="1:8" x14ac:dyDescent="0.35">
      <c r="A279" t="s">
        <v>1199</v>
      </c>
      <c r="B279" s="1">
        <v>0</v>
      </c>
      <c r="C279" s="1">
        <v>0</v>
      </c>
      <c r="D279" s="1">
        <v>0</v>
      </c>
      <c r="E279">
        <v>0</v>
      </c>
      <c r="F279">
        <v>0</v>
      </c>
      <c r="G279">
        <v>0</v>
      </c>
      <c r="H279" s="1">
        <v>0</v>
      </c>
    </row>
    <row r="280" spans="1:8" x14ac:dyDescent="0.35">
      <c r="A280" t="s">
        <v>1202</v>
      </c>
      <c r="B280" s="1">
        <v>1002175000</v>
      </c>
      <c r="C280" s="1">
        <v>1002175000</v>
      </c>
      <c r="D280" s="1">
        <v>0</v>
      </c>
      <c r="E280">
        <v>0</v>
      </c>
      <c r="F280">
        <v>0</v>
      </c>
      <c r="G280">
        <v>0</v>
      </c>
      <c r="H280" s="1">
        <v>1002175000</v>
      </c>
    </row>
    <row r="281" spans="1:8" x14ac:dyDescent="0.35">
      <c r="A281" t="s">
        <v>1205</v>
      </c>
      <c r="B281" s="1">
        <v>0</v>
      </c>
      <c r="C281" s="1">
        <v>0</v>
      </c>
      <c r="D281" s="1">
        <v>0</v>
      </c>
      <c r="E281">
        <v>0</v>
      </c>
      <c r="F281">
        <v>0</v>
      </c>
      <c r="G281">
        <v>0</v>
      </c>
      <c r="H281" s="1">
        <v>0</v>
      </c>
    </row>
    <row r="282" spans="1:8" x14ac:dyDescent="0.35">
      <c r="A282" t="s">
        <v>1207</v>
      </c>
      <c r="B282" s="1">
        <v>0</v>
      </c>
      <c r="C282" s="1">
        <v>0</v>
      </c>
      <c r="D282" s="1">
        <v>0</v>
      </c>
      <c r="E282">
        <v>0</v>
      </c>
      <c r="F282">
        <v>0</v>
      </c>
      <c r="G282">
        <v>0</v>
      </c>
      <c r="H282" s="1">
        <v>0</v>
      </c>
    </row>
    <row r="283" spans="1:8" x14ac:dyDescent="0.35">
      <c r="A283" t="s">
        <v>1209</v>
      </c>
      <c r="B283" s="1">
        <v>0</v>
      </c>
      <c r="C283" s="1">
        <v>0</v>
      </c>
      <c r="D283" s="1">
        <v>0</v>
      </c>
      <c r="E283">
        <v>0</v>
      </c>
      <c r="F283">
        <v>0</v>
      </c>
      <c r="G283">
        <v>0</v>
      </c>
      <c r="H283" s="1">
        <v>0</v>
      </c>
    </row>
    <row r="284" spans="1:8" x14ac:dyDescent="0.35">
      <c r="A284" t="s">
        <v>1211</v>
      </c>
      <c r="B284" s="1">
        <v>0</v>
      </c>
      <c r="C284" s="1">
        <v>0</v>
      </c>
      <c r="D284" s="1">
        <v>0</v>
      </c>
      <c r="E284">
        <v>0</v>
      </c>
      <c r="F284">
        <v>0</v>
      </c>
      <c r="G284">
        <v>0</v>
      </c>
      <c r="H284" s="1">
        <v>0</v>
      </c>
    </row>
    <row r="285" spans="1:8" x14ac:dyDescent="0.35">
      <c r="A285" t="s">
        <v>1214</v>
      </c>
      <c r="B285" s="1">
        <v>200677379</v>
      </c>
      <c r="C285" s="1">
        <v>200677379</v>
      </c>
      <c r="D285" s="1">
        <v>0</v>
      </c>
      <c r="E285">
        <v>0</v>
      </c>
      <c r="F285">
        <v>0</v>
      </c>
      <c r="G285">
        <v>0</v>
      </c>
      <c r="H285" s="1">
        <v>200677379</v>
      </c>
    </row>
    <row r="286" spans="1:8" x14ac:dyDescent="0.35">
      <c r="A286" t="s">
        <v>1217</v>
      </c>
      <c r="B286" s="1">
        <v>0</v>
      </c>
      <c r="C286" s="1">
        <v>0</v>
      </c>
      <c r="D286" s="1">
        <v>0</v>
      </c>
      <c r="E286">
        <v>0</v>
      </c>
      <c r="F286">
        <v>0</v>
      </c>
      <c r="G286">
        <v>0</v>
      </c>
      <c r="H286" s="1">
        <v>0</v>
      </c>
    </row>
    <row r="287" spans="1:8" x14ac:dyDescent="0.35">
      <c r="A287" t="s">
        <v>1220</v>
      </c>
      <c r="B287" s="1">
        <v>0</v>
      </c>
      <c r="C287" s="1">
        <v>0</v>
      </c>
      <c r="D287" s="1">
        <v>0</v>
      </c>
      <c r="E287">
        <v>0</v>
      </c>
      <c r="F287">
        <v>0</v>
      </c>
      <c r="G287">
        <v>0</v>
      </c>
      <c r="H287" s="1">
        <v>0</v>
      </c>
    </row>
    <row r="288" spans="1:8" x14ac:dyDescent="0.35">
      <c r="A288" t="s">
        <v>1222</v>
      </c>
      <c r="B288" s="1">
        <v>0</v>
      </c>
      <c r="C288" s="1">
        <v>0</v>
      </c>
      <c r="D288" s="1">
        <v>0</v>
      </c>
      <c r="E288">
        <v>0</v>
      </c>
      <c r="F288">
        <v>0</v>
      </c>
      <c r="G288">
        <v>0</v>
      </c>
      <c r="H288" s="1">
        <v>0</v>
      </c>
    </row>
    <row r="289" spans="1:8" x14ac:dyDescent="0.35">
      <c r="A289" t="s">
        <v>1225</v>
      </c>
      <c r="B289" s="1">
        <v>438500000</v>
      </c>
      <c r="C289" s="1">
        <v>432600000</v>
      </c>
      <c r="D289" s="1">
        <v>5900000</v>
      </c>
      <c r="E289">
        <v>0</v>
      </c>
      <c r="F289">
        <v>0</v>
      </c>
      <c r="G289">
        <v>0</v>
      </c>
      <c r="H289" s="1">
        <v>432600000</v>
      </c>
    </row>
    <row r="290" spans="1:8" x14ac:dyDescent="0.35">
      <c r="A290" t="s">
        <v>1228</v>
      </c>
      <c r="B290" s="1">
        <v>1771976000</v>
      </c>
      <c r="C290" s="1">
        <v>1771976000</v>
      </c>
      <c r="D290" s="1">
        <v>0</v>
      </c>
      <c r="E290">
        <v>0</v>
      </c>
      <c r="F290">
        <v>0</v>
      </c>
      <c r="G290">
        <v>0</v>
      </c>
      <c r="H290" s="1">
        <v>885988000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412"/>
  <sheetViews>
    <sheetView workbookViewId="0">
      <selection activeCell="A6" sqref="A6"/>
    </sheetView>
  </sheetViews>
  <sheetFormatPr defaultRowHeight="14.5" x14ac:dyDescent="0.35"/>
  <cols>
    <col min="1" max="1" width="40.6328125" bestFit="1" customWidth="1"/>
    <col min="2" max="2" width="19.08984375" bestFit="1" customWidth="1"/>
    <col min="3" max="5" width="11.81640625" bestFit="1" customWidth="1"/>
    <col min="6" max="6" width="12.453125" bestFit="1" customWidth="1"/>
    <col min="7" max="7" width="19.81640625" bestFit="1" customWidth="1"/>
    <col min="8" max="10" width="11.81640625" bestFit="1" customWidth="1"/>
    <col min="11" max="11" width="12.453125" bestFit="1" customWidth="1"/>
    <col min="12" max="12" width="11.81640625" bestFit="1" customWidth="1"/>
    <col min="13" max="13" width="12.453125" bestFit="1" customWidth="1"/>
    <col min="14" max="14" width="11.81640625" bestFit="1" customWidth="1"/>
    <col min="15" max="16" width="12.453125" bestFit="1" customWidth="1"/>
    <col min="17" max="17" width="11.6328125" bestFit="1" customWidth="1"/>
    <col min="18" max="18" width="6" bestFit="1" customWidth="1"/>
    <col min="19" max="20" width="11.81640625" bestFit="1" customWidth="1"/>
    <col min="21" max="21" width="12.453125" bestFit="1" customWidth="1"/>
    <col min="22" max="22" width="11.6328125" bestFit="1" customWidth="1"/>
    <col min="23" max="23" width="6" bestFit="1" customWidth="1"/>
    <col min="24" max="25" width="11.81640625" bestFit="1" customWidth="1"/>
    <col min="26" max="26" width="12.453125" bestFit="1" customWidth="1"/>
    <col min="27" max="27" width="23.90625" bestFit="1" customWidth="1"/>
    <col min="28" max="28" width="6" bestFit="1" customWidth="1"/>
    <col min="29" max="29" width="11.7265625" bestFit="1" customWidth="1"/>
    <col min="30" max="30" width="8.1796875" bestFit="1" customWidth="1"/>
    <col min="31" max="31" width="8.36328125" bestFit="1" customWidth="1"/>
    <col min="32" max="32" width="19.453125" bestFit="1" customWidth="1"/>
    <col min="33" max="35" width="11.81640625" bestFit="1" customWidth="1"/>
    <col min="36" max="36" width="12.453125" bestFit="1" customWidth="1"/>
    <col min="37" max="37" width="21.81640625" bestFit="1" customWidth="1"/>
    <col min="38" max="38" width="14.81640625" bestFit="1" customWidth="1"/>
    <col min="39" max="39" width="47.1796875" bestFit="1" customWidth="1"/>
    <col min="40" max="40" width="18.453125" bestFit="1" customWidth="1"/>
    <col min="41" max="41" width="11.81640625" bestFit="1" customWidth="1"/>
    <col min="42" max="42" width="12.453125" bestFit="1" customWidth="1"/>
    <col min="43" max="43" width="9.453125" bestFit="1" customWidth="1"/>
    <col min="44" max="44" width="19.1796875" bestFit="1" customWidth="1"/>
    <col min="45" max="45" width="11.81640625" bestFit="1" customWidth="1"/>
    <col min="46" max="46" width="12.453125" bestFit="1" customWidth="1"/>
    <col min="47" max="47" width="11.453125" bestFit="1" customWidth="1"/>
    <col min="48" max="49" width="11.81640625" bestFit="1" customWidth="1"/>
    <col min="50" max="50" width="12.453125" bestFit="1" customWidth="1"/>
    <col min="51" max="51" width="6.453125" bestFit="1" customWidth="1"/>
    <col min="52" max="52" width="11" bestFit="1" customWidth="1"/>
    <col min="53" max="53" width="6" bestFit="1" customWidth="1"/>
    <col min="54" max="54" width="8" bestFit="1" customWidth="1"/>
    <col min="55" max="55" width="5.54296875" bestFit="1" customWidth="1"/>
    <col min="56" max="56" width="11" bestFit="1" customWidth="1"/>
    <col min="57" max="57" width="6" bestFit="1" customWidth="1"/>
    <col min="58" max="58" width="8" bestFit="1" customWidth="1"/>
    <col min="59" max="59" width="5.54296875" bestFit="1" customWidth="1"/>
    <col min="60" max="60" width="23.26953125" bestFit="1" customWidth="1"/>
    <col min="61" max="61" width="6" bestFit="1" customWidth="1"/>
    <col min="62" max="62" width="8" bestFit="1" customWidth="1"/>
    <col min="63" max="63" width="5.54296875" bestFit="1" customWidth="1"/>
    <col min="64" max="64" width="18.81640625" bestFit="1" customWidth="1"/>
    <col min="65" max="65" width="11.81640625" bestFit="1" customWidth="1"/>
    <col min="66" max="67" width="12.453125" bestFit="1" customWidth="1"/>
    <col min="68" max="68" width="27" bestFit="1" customWidth="1"/>
  </cols>
  <sheetData>
    <row r="1" spans="1:68" x14ac:dyDescent="0.35">
      <c r="A1" t="s">
        <v>1523</v>
      </c>
      <c r="B1" t="s">
        <v>1524</v>
      </c>
      <c r="G1" t="s">
        <v>1525</v>
      </c>
      <c r="L1" t="s">
        <v>1526</v>
      </c>
      <c r="Q1" t="s">
        <v>1527</v>
      </c>
      <c r="V1" t="s">
        <v>1528</v>
      </c>
      <c r="AA1" t="s">
        <v>1529</v>
      </c>
      <c r="AF1" t="s">
        <v>1530</v>
      </c>
      <c r="AK1" t="s">
        <v>1531</v>
      </c>
      <c r="AL1" t="s">
        <v>8</v>
      </c>
      <c r="AM1" t="s">
        <v>1532</v>
      </c>
      <c r="AN1" t="s">
        <v>1533</v>
      </c>
      <c r="AR1" t="s">
        <v>1534</v>
      </c>
      <c r="AV1" t="s">
        <v>1535</v>
      </c>
      <c r="AZ1" t="s">
        <v>1536</v>
      </c>
      <c r="BD1" t="s">
        <v>1537</v>
      </c>
      <c r="BH1" t="s">
        <v>1538</v>
      </c>
      <c r="BL1" t="s">
        <v>1539</v>
      </c>
      <c r="BP1" t="s">
        <v>1540</v>
      </c>
    </row>
    <row r="2" spans="1:68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A2" t="s">
        <v>10</v>
      </c>
      <c r="AB2" t="s">
        <v>11</v>
      </c>
      <c r="AC2" t="s">
        <v>12</v>
      </c>
      <c r="AD2" t="s">
        <v>13</v>
      </c>
      <c r="AE2" t="s">
        <v>14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M2" t="s">
        <v>9</v>
      </c>
      <c r="AN2" t="s">
        <v>1229</v>
      </c>
      <c r="AO2" t="s">
        <v>11</v>
      </c>
      <c r="AP2" t="s">
        <v>1230</v>
      </c>
      <c r="AQ2" t="s">
        <v>1231</v>
      </c>
      <c r="AR2" t="s">
        <v>1229</v>
      </c>
      <c r="AS2" t="s">
        <v>11</v>
      </c>
      <c r="AT2" t="s">
        <v>1230</v>
      </c>
      <c r="AU2" t="s">
        <v>1231</v>
      </c>
      <c r="AV2" t="s">
        <v>1229</v>
      </c>
      <c r="AW2" t="s">
        <v>11</v>
      </c>
      <c r="AX2" t="s">
        <v>1230</v>
      </c>
      <c r="AY2" t="s">
        <v>1231</v>
      </c>
      <c r="AZ2" t="s">
        <v>1229</v>
      </c>
      <c r="BA2" t="s">
        <v>11</v>
      </c>
      <c r="BB2" t="s">
        <v>1230</v>
      </c>
      <c r="BC2" t="s">
        <v>1231</v>
      </c>
      <c r="BD2" t="s">
        <v>1229</v>
      </c>
      <c r="BE2" t="s">
        <v>11</v>
      </c>
      <c r="BF2" t="s">
        <v>1230</v>
      </c>
      <c r="BG2" t="s">
        <v>1231</v>
      </c>
      <c r="BH2" t="s">
        <v>1229</v>
      </c>
      <c r="BI2" t="s">
        <v>11</v>
      </c>
      <c r="BJ2" t="s">
        <v>1230</v>
      </c>
      <c r="BK2" t="s">
        <v>1231</v>
      </c>
      <c r="BL2" t="s">
        <v>1229</v>
      </c>
      <c r="BM2" t="s">
        <v>11</v>
      </c>
      <c r="BN2" t="s">
        <v>1230</v>
      </c>
      <c r="BO2" t="s">
        <v>1231</v>
      </c>
    </row>
    <row r="3" spans="1:68" x14ac:dyDescent="0.3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16</v>
      </c>
      <c r="AL3" t="s">
        <v>17</v>
      </c>
    </row>
    <row r="4" spans="1:68" x14ac:dyDescent="0.35">
      <c r="A4" t="s">
        <v>18</v>
      </c>
      <c r="B4">
        <v>19137257519.84</v>
      </c>
      <c r="C4">
        <v>4662264094.8000002</v>
      </c>
      <c r="D4">
        <v>1275641544.3699999</v>
      </c>
      <c r="E4">
        <v>5937905639.1700001</v>
      </c>
      <c r="F4">
        <v>13199351880.67</v>
      </c>
      <c r="G4">
        <v>1952754815.4000001</v>
      </c>
      <c r="H4">
        <v>1952754815.4000001</v>
      </c>
      <c r="I4">
        <v>0</v>
      </c>
      <c r="J4">
        <v>1952754815.4000001</v>
      </c>
      <c r="K4">
        <v>0</v>
      </c>
      <c r="L4">
        <v>17184502704.439999</v>
      </c>
      <c r="M4">
        <v>2709509279.4000001</v>
      </c>
      <c r="N4">
        <v>1275641544.3699999</v>
      </c>
      <c r="O4">
        <v>3985150823.77</v>
      </c>
      <c r="P4">
        <v>13199351880.67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19137257519.84</v>
      </c>
      <c r="AG4">
        <v>4662264094.8000002</v>
      </c>
      <c r="AH4">
        <v>1275641544.3699999</v>
      </c>
      <c r="AI4">
        <v>5937905639.1700001</v>
      </c>
      <c r="AJ4">
        <v>13199351880.67</v>
      </c>
      <c r="AK4" t="s">
        <v>19</v>
      </c>
      <c r="AL4" t="s">
        <v>20</v>
      </c>
      <c r="AM4" t="s">
        <v>1232</v>
      </c>
      <c r="AN4">
        <v>17555000001</v>
      </c>
      <c r="AO4">
        <v>4662264095</v>
      </c>
      <c r="AP4">
        <v>12892735906</v>
      </c>
      <c r="AQ4">
        <v>73.400000000000006</v>
      </c>
      <c r="AR4">
        <v>17555000001</v>
      </c>
      <c r="AS4">
        <v>1952754815</v>
      </c>
      <c r="AT4">
        <v>15602245186</v>
      </c>
      <c r="AU4">
        <v>88.9</v>
      </c>
      <c r="AV4">
        <v>0</v>
      </c>
      <c r="AW4">
        <v>2709509279</v>
      </c>
      <c r="AX4">
        <v>-2709509279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17575000001</v>
      </c>
      <c r="BM4">
        <v>4662264095</v>
      </c>
      <c r="BN4">
        <v>12912735906</v>
      </c>
      <c r="BO4">
        <v>73.5</v>
      </c>
      <c r="BP4" t="s">
        <v>19</v>
      </c>
    </row>
    <row r="5" spans="1:68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22</v>
      </c>
      <c r="AL5" t="s">
        <v>23</v>
      </c>
    </row>
    <row r="6" spans="1:68" x14ac:dyDescent="0.35">
      <c r="A6" t="s">
        <v>24</v>
      </c>
      <c r="B6">
        <v>3987309</v>
      </c>
      <c r="C6">
        <v>3987309</v>
      </c>
      <c r="D6">
        <v>0</v>
      </c>
      <c r="E6">
        <v>3987309</v>
      </c>
      <c r="F6">
        <v>0</v>
      </c>
      <c r="G6">
        <v>3987309</v>
      </c>
      <c r="H6">
        <v>3987309</v>
      </c>
      <c r="I6">
        <v>0</v>
      </c>
      <c r="J6">
        <v>3987309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3987309</v>
      </c>
      <c r="AG6">
        <v>3987309</v>
      </c>
      <c r="AH6">
        <v>0</v>
      </c>
      <c r="AI6">
        <v>3987309</v>
      </c>
      <c r="AJ6">
        <v>0</v>
      </c>
      <c r="AK6" t="s">
        <v>25</v>
      </c>
      <c r="AL6" t="s">
        <v>26</v>
      </c>
      <c r="AM6" t="s">
        <v>1233</v>
      </c>
      <c r="AN6">
        <v>5945634</v>
      </c>
      <c r="AO6">
        <v>3987309</v>
      </c>
      <c r="AP6">
        <v>1958325</v>
      </c>
      <c r="AQ6">
        <v>32.9</v>
      </c>
      <c r="AR6">
        <v>5945634</v>
      </c>
      <c r="AS6">
        <v>3987309</v>
      </c>
      <c r="AT6">
        <v>1958325</v>
      </c>
      <c r="AU6">
        <v>32.9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5945634</v>
      </c>
      <c r="BM6">
        <v>3987309</v>
      </c>
      <c r="BN6">
        <v>1958325</v>
      </c>
      <c r="BO6">
        <v>32.9</v>
      </c>
      <c r="BP6" t="s">
        <v>25</v>
      </c>
    </row>
    <row r="7" spans="1:68" x14ac:dyDescent="0.35">
      <c r="A7" t="s">
        <v>27</v>
      </c>
      <c r="B7">
        <v>13294998.85</v>
      </c>
      <c r="C7">
        <v>3679142.06</v>
      </c>
      <c r="D7">
        <v>9615856.7899999991</v>
      </c>
      <c r="E7">
        <v>13294998.85</v>
      </c>
      <c r="F7">
        <v>0</v>
      </c>
      <c r="G7">
        <v>13294998.85</v>
      </c>
      <c r="H7">
        <v>3679142.06</v>
      </c>
      <c r="I7">
        <v>9615856.7899999991</v>
      </c>
      <c r="J7">
        <v>13294998.85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13294998.85</v>
      </c>
      <c r="AG7">
        <v>3679142.06</v>
      </c>
      <c r="AH7">
        <v>9615856.7899999991</v>
      </c>
      <c r="AI7">
        <v>13294998.85</v>
      </c>
      <c r="AJ7">
        <v>0</v>
      </c>
      <c r="AK7" t="s">
        <v>28</v>
      </c>
      <c r="AL7" t="s">
        <v>29</v>
      </c>
      <c r="AM7" t="s">
        <v>1234</v>
      </c>
      <c r="AN7">
        <v>18295400</v>
      </c>
      <c r="AO7">
        <v>3679142</v>
      </c>
      <c r="AP7">
        <v>14616258</v>
      </c>
      <c r="AQ7">
        <v>79.900000000000006</v>
      </c>
      <c r="AR7">
        <v>18295400</v>
      </c>
      <c r="AS7">
        <v>3679142</v>
      </c>
      <c r="AT7">
        <v>14616258</v>
      </c>
      <c r="AU7">
        <v>79.900000000000006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18295400</v>
      </c>
      <c r="BM7">
        <v>3679142</v>
      </c>
      <c r="BN7">
        <v>14616258</v>
      </c>
      <c r="BO7">
        <v>79.900000000000006</v>
      </c>
      <c r="BP7" t="s">
        <v>28</v>
      </c>
    </row>
    <row r="8" spans="1:68" x14ac:dyDescent="0.35">
      <c r="A8" t="s">
        <v>30</v>
      </c>
      <c r="B8">
        <v>806814438.90999997</v>
      </c>
      <c r="C8">
        <v>362190462.81999999</v>
      </c>
      <c r="D8">
        <v>246640613.21000001</v>
      </c>
      <c r="E8">
        <v>608831076.02999997</v>
      </c>
      <c r="F8">
        <v>197983362.88</v>
      </c>
      <c r="G8">
        <v>241804043.15000001</v>
      </c>
      <c r="H8">
        <v>241804043.15000001</v>
      </c>
      <c r="I8">
        <v>8813116.0399999991</v>
      </c>
      <c r="J8">
        <v>250617159.19</v>
      </c>
      <c r="K8">
        <v>-8813116.0399999991</v>
      </c>
      <c r="L8">
        <v>565010395.75999999</v>
      </c>
      <c r="M8">
        <v>120386419.67</v>
      </c>
      <c r="N8">
        <v>231246751.31999999</v>
      </c>
      <c r="O8">
        <v>351633170.99000001</v>
      </c>
      <c r="P8">
        <v>213377224.77000001</v>
      </c>
      <c r="Q8">
        <v>0</v>
      </c>
      <c r="R8">
        <v>0</v>
      </c>
      <c r="S8">
        <v>6580745.8499999996</v>
      </c>
      <c r="T8">
        <v>6580745.8499999996</v>
      </c>
      <c r="U8">
        <v>-6580745.8499999996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806814439.52999997</v>
      </c>
      <c r="AG8">
        <v>362190462.81999999</v>
      </c>
      <c r="AH8">
        <v>246640613.21000001</v>
      </c>
      <c r="AI8">
        <v>608831076.02999997</v>
      </c>
      <c r="AJ8">
        <v>197983363.5</v>
      </c>
      <c r="AK8" t="s">
        <v>31</v>
      </c>
      <c r="AL8" t="s">
        <v>32</v>
      </c>
      <c r="AM8" t="s">
        <v>1235</v>
      </c>
      <c r="AN8">
        <v>718500000</v>
      </c>
      <c r="AO8">
        <v>362190463</v>
      </c>
      <c r="AP8">
        <v>356309537</v>
      </c>
      <c r="AQ8">
        <v>49.6</v>
      </c>
      <c r="AR8">
        <v>718500000</v>
      </c>
      <c r="AS8">
        <v>241804043</v>
      </c>
      <c r="AT8">
        <v>476695957</v>
      </c>
      <c r="AU8">
        <v>66.3</v>
      </c>
      <c r="AV8">
        <v>0</v>
      </c>
      <c r="AW8">
        <v>120386420</v>
      </c>
      <c r="AX8">
        <v>-120386420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718500000</v>
      </c>
      <c r="BM8">
        <v>362190463</v>
      </c>
      <c r="BN8">
        <v>356309537</v>
      </c>
      <c r="BO8">
        <v>49.6</v>
      </c>
      <c r="BP8" t="s">
        <v>31</v>
      </c>
    </row>
    <row r="9" spans="1:68" x14ac:dyDescent="0.35">
      <c r="A9" t="s">
        <v>33</v>
      </c>
      <c r="B9">
        <v>398300.04</v>
      </c>
      <c r="C9">
        <v>375240</v>
      </c>
      <c r="D9">
        <v>23060.04</v>
      </c>
      <c r="E9">
        <v>398300.04</v>
      </c>
      <c r="F9">
        <v>0</v>
      </c>
      <c r="G9">
        <v>375240</v>
      </c>
      <c r="H9">
        <v>375240</v>
      </c>
      <c r="I9">
        <v>0</v>
      </c>
      <c r="J9">
        <v>375240</v>
      </c>
      <c r="K9">
        <v>0</v>
      </c>
      <c r="L9">
        <v>23060.04</v>
      </c>
      <c r="M9">
        <v>0</v>
      </c>
      <c r="N9">
        <v>23060.04</v>
      </c>
      <c r="O9">
        <v>23060.04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398300.04</v>
      </c>
      <c r="AG9">
        <v>375240</v>
      </c>
      <c r="AH9">
        <v>23060.04</v>
      </c>
      <c r="AI9">
        <v>398300.04</v>
      </c>
      <c r="AJ9">
        <v>0</v>
      </c>
      <c r="AK9" t="s">
        <v>34</v>
      </c>
      <c r="AL9" t="s">
        <v>35</v>
      </c>
      <c r="AM9" t="s">
        <v>1236</v>
      </c>
      <c r="AN9">
        <v>33358500000</v>
      </c>
      <c r="AO9">
        <v>375240</v>
      </c>
      <c r="AP9">
        <v>33358124760</v>
      </c>
      <c r="AQ9">
        <v>100</v>
      </c>
      <c r="AR9">
        <v>33358500000</v>
      </c>
      <c r="AS9">
        <v>375240</v>
      </c>
      <c r="AT9">
        <v>33358124760</v>
      </c>
      <c r="AU9">
        <v>100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33358500000</v>
      </c>
      <c r="BM9">
        <v>375240</v>
      </c>
      <c r="BN9">
        <v>33358124760</v>
      </c>
      <c r="BO9">
        <v>100</v>
      </c>
      <c r="BP9" t="s">
        <v>34</v>
      </c>
    </row>
    <row r="10" spans="1:68" x14ac:dyDescent="0.35">
      <c r="A10" t="s">
        <v>36</v>
      </c>
      <c r="B10">
        <v>5416022239.75</v>
      </c>
      <c r="C10">
        <v>3704872940.0599999</v>
      </c>
      <c r="D10">
        <v>68131780.769999996</v>
      </c>
      <c r="E10">
        <v>3773004720.8299999</v>
      </c>
      <c r="F10">
        <v>1643017518.9200001</v>
      </c>
      <c r="G10">
        <v>2374299156</v>
      </c>
      <c r="H10">
        <v>2374299156</v>
      </c>
      <c r="I10">
        <v>0</v>
      </c>
      <c r="J10">
        <v>2374299156</v>
      </c>
      <c r="K10">
        <v>0</v>
      </c>
      <c r="L10">
        <v>3041723083.75</v>
      </c>
      <c r="M10">
        <v>1330573784.0599999</v>
      </c>
      <c r="N10">
        <v>68131780.769999996</v>
      </c>
      <c r="O10">
        <v>1398705564.8299999</v>
      </c>
      <c r="P10">
        <v>1643017518.9200001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5416022239.75</v>
      </c>
      <c r="AG10">
        <v>3704872940.0599999</v>
      </c>
      <c r="AH10">
        <v>68131780.769999996</v>
      </c>
      <c r="AI10">
        <v>3773004720.8299999</v>
      </c>
      <c r="AJ10">
        <v>1643017518.9200001</v>
      </c>
      <c r="AK10" t="s">
        <v>37</v>
      </c>
      <c r="AL10" t="s">
        <v>38</v>
      </c>
      <c r="AM10" t="s">
        <v>1237</v>
      </c>
      <c r="AN10">
        <v>1400000000</v>
      </c>
      <c r="AO10">
        <v>3704872940</v>
      </c>
      <c r="AP10">
        <v>-2304872940</v>
      </c>
      <c r="AQ10">
        <v>-164.6</v>
      </c>
      <c r="AR10">
        <v>0</v>
      </c>
      <c r="AS10">
        <v>2374299156</v>
      </c>
      <c r="AT10">
        <v>-2374299156</v>
      </c>
      <c r="AU10">
        <v>0</v>
      </c>
      <c r="AV10">
        <v>1400000000</v>
      </c>
      <c r="AW10">
        <v>1330573784</v>
      </c>
      <c r="AX10">
        <v>69426216</v>
      </c>
      <c r="AY10">
        <v>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1400000000</v>
      </c>
      <c r="BM10">
        <v>3704872940</v>
      </c>
      <c r="BN10">
        <v>-2304872940</v>
      </c>
      <c r="BO10">
        <v>-164.6</v>
      </c>
      <c r="BP10" t="s">
        <v>37</v>
      </c>
    </row>
    <row r="11" spans="1:68" x14ac:dyDescent="0.35">
      <c r="A11" t="s">
        <v>39</v>
      </c>
      <c r="B11">
        <v>889522026.40999997</v>
      </c>
      <c r="C11">
        <v>698055870.87</v>
      </c>
      <c r="D11">
        <v>133654576.78</v>
      </c>
      <c r="E11">
        <v>831710447.64999998</v>
      </c>
      <c r="F11">
        <v>57811578.759999998</v>
      </c>
      <c r="G11">
        <v>399840099.99000001</v>
      </c>
      <c r="H11">
        <v>399606291.52999997</v>
      </c>
      <c r="I11">
        <v>0</v>
      </c>
      <c r="J11">
        <v>399606291.52999997</v>
      </c>
      <c r="K11">
        <v>233808.46</v>
      </c>
      <c r="L11">
        <v>489681926.42000002</v>
      </c>
      <c r="M11">
        <v>298449579.33999997</v>
      </c>
      <c r="N11">
        <v>120650710.08</v>
      </c>
      <c r="O11">
        <v>419100289.42000002</v>
      </c>
      <c r="P11">
        <v>70581637</v>
      </c>
      <c r="Q11">
        <v>0</v>
      </c>
      <c r="R11">
        <v>0</v>
      </c>
      <c r="S11">
        <v>13003866.699999999</v>
      </c>
      <c r="T11">
        <v>13003866.699999999</v>
      </c>
      <c r="U11">
        <v>-13003866.699999999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889522026.40999997</v>
      </c>
      <c r="AG11">
        <v>698055870.87</v>
      </c>
      <c r="AH11">
        <v>133654576.78</v>
      </c>
      <c r="AI11">
        <v>831710447.64999998</v>
      </c>
      <c r="AJ11">
        <v>57811578.759999998</v>
      </c>
      <c r="AK11" t="s">
        <v>40</v>
      </c>
      <c r="AL11" t="s">
        <v>41</v>
      </c>
      <c r="AM11" t="s">
        <v>1238</v>
      </c>
      <c r="AN11">
        <v>359054495</v>
      </c>
      <c r="AO11">
        <v>698055871</v>
      </c>
      <c r="AP11">
        <v>-339001376</v>
      </c>
      <c r="AQ11">
        <v>-94.4</v>
      </c>
      <c r="AR11">
        <v>325589555</v>
      </c>
      <c r="AS11">
        <v>399606292</v>
      </c>
      <c r="AT11">
        <v>-74016737</v>
      </c>
      <c r="AU11">
        <v>-22.7</v>
      </c>
      <c r="AV11">
        <v>33464940</v>
      </c>
      <c r="AW11">
        <v>298449579</v>
      </c>
      <c r="AX11">
        <v>-264984639</v>
      </c>
      <c r="AY11">
        <v>-791.8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359054495</v>
      </c>
      <c r="BM11">
        <v>698055871</v>
      </c>
      <c r="BN11">
        <v>-339001376</v>
      </c>
      <c r="BO11">
        <v>-94.4</v>
      </c>
      <c r="BP11" t="s">
        <v>40</v>
      </c>
    </row>
    <row r="12" spans="1:68" x14ac:dyDescent="0.35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43</v>
      </c>
      <c r="AL12" t="s">
        <v>44</v>
      </c>
      <c r="AM12" t="s">
        <v>1239</v>
      </c>
      <c r="AN12">
        <v>3390000000</v>
      </c>
      <c r="AO12">
        <v>0</v>
      </c>
      <c r="AP12">
        <v>3390000000</v>
      </c>
      <c r="AQ12">
        <v>100</v>
      </c>
      <c r="AR12">
        <v>3390000000</v>
      </c>
      <c r="AS12">
        <v>0</v>
      </c>
      <c r="AT12">
        <v>3390000000</v>
      </c>
      <c r="AU12">
        <v>100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3390000000</v>
      </c>
      <c r="BM12">
        <v>0</v>
      </c>
      <c r="BN12">
        <v>3390000000</v>
      </c>
      <c r="BO12">
        <v>100</v>
      </c>
      <c r="BP12" t="s">
        <v>43</v>
      </c>
    </row>
    <row r="13" spans="1:68" x14ac:dyDescent="0.35">
      <c r="A13" t="s">
        <v>45</v>
      </c>
      <c r="B13">
        <v>85900</v>
      </c>
      <c r="C13">
        <v>85892.2</v>
      </c>
      <c r="D13">
        <v>0</v>
      </c>
      <c r="E13">
        <v>85892.2</v>
      </c>
      <c r="F13">
        <v>7.8</v>
      </c>
      <c r="G13">
        <v>0</v>
      </c>
      <c r="H13">
        <v>0</v>
      </c>
      <c r="I13">
        <v>0</v>
      </c>
      <c r="J13">
        <v>0</v>
      </c>
      <c r="K13">
        <v>0</v>
      </c>
      <c r="L13">
        <v>85900</v>
      </c>
      <c r="M13">
        <v>85892.2</v>
      </c>
      <c r="N13">
        <v>0</v>
      </c>
      <c r="O13">
        <v>85892.2</v>
      </c>
      <c r="P13">
        <v>7.8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85900</v>
      </c>
      <c r="AG13">
        <v>85892.2</v>
      </c>
      <c r="AH13">
        <v>0</v>
      </c>
      <c r="AI13">
        <v>85892.2</v>
      </c>
      <c r="AJ13">
        <v>7.8</v>
      </c>
      <c r="AK13" t="s">
        <v>46</v>
      </c>
      <c r="AL13" t="s">
        <v>47</v>
      </c>
      <c r="AM13" t="s">
        <v>1240</v>
      </c>
      <c r="AN13">
        <v>37557200000</v>
      </c>
      <c r="AO13">
        <v>85892</v>
      </c>
      <c r="AP13">
        <v>37557114108</v>
      </c>
      <c r="AQ13">
        <v>100</v>
      </c>
      <c r="AR13">
        <v>37557200000</v>
      </c>
      <c r="AS13">
        <v>0</v>
      </c>
      <c r="AT13">
        <v>37557200000</v>
      </c>
      <c r="AU13">
        <v>100</v>
      </c>
      <c r="AV13">
        <v>0</v>
      </c>
      <c r="AW13">
        <v>85892</v>
      </c>
      <c r="AX13">
        <v>-85892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37557200000</v>
      </c>
      <c r="BM13">
        <v>85892</v>
      </c>
      <c r="BN13">
        <v>37557114108</v>
      </c>
      <c r="BO13">
        <v>100</v>
      </c>
      <c r="BP13" t="s">
        <v>46</v>
      </c>
    </row>
    <row r="14" spans="1:68" x14ac:dyDescent="0.35">
      <c r="A14" t="s">
        <v>48</v>
      </c>
      <c r="B14">
        <v>1640000000</v>
      </c>
      <c r="C14">
        <v>2924692278.3099999</v>
      </c>
      <c r="D14">
        <v>824335517.72000003</v>
      </c>
      <c r="E14">
        <v>3749027796.0300002</v>
      </c>
      <c r="F14">
        <v>-2109027796.03</v>
      </c>
      <c r="G14">
        <v>1640000000</v>
      </c>
      <c r="H14">
        <v>2952189971.3699999</v>
      </c>
      <c r="I14">
        <v>824195517.71000004</v>
      </c>
      <c r="J14">
        <v>3776385489.0799999</v>
      </c>
      <c r="K14">
        <v>-2136385489.0799999</v>
      </c>
      <c r="L14">
        <v>0</v>
      </c>
      <c r="M14">
        <v>-27497693.059999999</v>
      </c>
      <c r="N14">
        <v>0</v>
      </c>
      <c r="O14">
        <v>-27497693.059999999</v>
      </c>
      <c r="P14">
        <v>27497693.059999999</v>
      </c>
      <c r="Q14">
        <v>0</v>
      </c>
      <c r="R14">
        <v>0</v>
      </c>
      <c r="S14">
        <v>140000.01</v>
      </c>
      <c r="T14">
        <v>140000.01</v>
      </c>
      <c r="U14">
        <v>-140000.01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1640000000</v>
      </c>
      <c r="AG14">
        <v>2924692278.3099999</v>
      </c>
      <c r="AH14">
        <v>824335517.72000003</v>
      </c>
      <c r="AI14">
        <v>3749027796.0300002</v>
      </c>
      <c r="AJ14">
        <v>-2109027796.03</v>
      </c>
      <c r="AK14" t="s">
        <v>49</v>
      </c>
      <c r="AL14" t="s">
        <v>50</v>
      </c>
      <c r="AM14" t="s">
        <v>1241</v>
      </c>
      <c r="AN14">
        <v>790000000</v>
      </c>
      <c r="AO14">
        <v>2924692278</v>
      </c>
      <c r="AP14">
        <v>-2134692278</v>
      </c>
      <c r="AQ14">
        <v>-270.2</v>
      </c>
      <c r="AR14">
        <v>790000000</v>
      </c>
      <c r="AS14">
        <v>2952189971</v>
      </c>
      <c r="AT14">
        <v>-2162189971</v>
      </c>
      <c r="AU14">
        <v>-273.7</v>
      </c>
      <c r="AV14">
        <v>0</v>
      </c>
      <c r="AW14">
        <v>-27497693</v>
      </c>
      <c r="AX14">
        <v>27497693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790000000</v>
      </c>
      <c r="BM14">
        <v>2924692278</v>
      </c>
      <c r="BN14">
        <v>-2134692278</v>
      </c>
      <c r="BO14">
        <v>-270.2</v>
      </c>
      <c r="BP14" t="s">
        <v>49</v>
      </c>
    </row>
    <row r="15" spans="1:68" x14ac:dyDescent="0.35">
      <c r="A15" t="s">
        <v>51</v>
      </c>
      <c r="B15">
        <v>3229644147.48</v>
      </c>
      <c r="C15">
        <v>478211531.80000001</v>
      </c>
      <c r="D15">
        <v>1380695622.25</v>
      </c>
      <c r="E15">
        <v>1858907154.05</v>
      </c>
      <c r="F15">
        <v>1370736993.4300001</v>
      </c>
      <c r="G15">
        <v>104776583.01000001</v>
      </c>
      <c r="H15">
        <v>93485870.209999993</v>
      </c>
      <c r="I15">
        <v>0</v>
      </c>
      <c r="J15">
        <v>93485870.209999993</v>
      </c>
      <c r="K15">
        <v>11290712.800000001</v>
      </c>
      <c r="L15">
        <v>3124867564.4699998</v>
      </c>
      <c r="M15">
        <v>384725661.58999997</v>
      </c>
      <c r="N15">
        <v>1365474293.3900001</v>
      </c>
      <c r="O15">
        <v>1750199954.98</v>
      </c>
      <c r="P15">
        <v>1374667609.49</v>
      </c>
      <c r="Q15">
        <v>0</v>
      </c>
      <c r="R15">
        <v>0</v>
      </c>
      <c r="S15">
        <v>15221328.859999999</v>
      </c>
      <c r="T15">
        <v>15221328.859999999</v>
      </c>
      <c r="U15">
        <v>-15221328.859999999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3229644147.48</v>
      </c>
      <c r="AG15">
        <v>478211531.80000001</v>
      </c>
      <c r="AH15">
        <v>1380695622.25</v>
      </c>
      <c r="AI15">
        <v>1858907154.05</v>
      </c>
      <c r="AJ15">
        <v>1370736993.4300001</v>
      </c>
      <c r="AK15" t="s">
        <v>49</v>
      </c>
      <c r="AL15" t="s">
        <v>52</v>
      </c>
      <c r="AM15" t="s">
        <v>1242</v>
      </c>
      <c r="AN15">
        <v>3500000000</v>
      </c>
      <c r="AO15">
        <v>478211532</v>
      </c>
      <c r="AP15">
        <v>3021788468</v>
      </c>
      <c r="AQ15">
        <v>86.3</v>
      </c>
      <c r="AR15">
        <v>1500000000</v>
      </c>
      <c r="AS15">
        <v>93485870</v>
      </c>
      <c r="AT15">
        <v>1406514130</v>
      </c>
      <c r="AU15">
        <v>93.8</v>
      </c>
      <c r="AV15">
        <v>2000000000</v>
      </c>
      <c r="AW15">
        <v>384725662</v>
      </c>
      <c r="AX15">
        <v>1615274338</v>
      </c>
      <c r="AY15">
        <v>80.8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2700000000</v>
      </c>
      <c r="BM15">
        <v>478211532</v>
      </c>
      <c r="BN15">
        <v>2221788468</v>
      </c>
      <c r="BO15">
        <v>82.3</v>
      </c>
      <c r="BP15" t="s">
        <v>49</v>
      </c>
    </row>
    <row r="16" spans="1:68" x14ac:dyDescent="0.35">
      <c r="A16" t="s">
        <v>53</v>
      </c>
      <c r="B16">
        <v>2120002000</v>
      </c>
      <c r="C16">
        <v>836847870.40999997</v>
      </c>
      <c r="D16">
        <v>1086005832.9100001</v>
      </c>
      <c r="E16">
        <v>1922853703.3199999</v>
      </c>
      <c r="F16">
        <v>197148296.68000001</v>
      </c>
      <c r="G16">
        <v>836495967.91999996</v>
      </c>
      <c r="H16">
        <v>831649684.02999997</v>
      </c>
      <c r="I16">
        <v>0</v>
      </c>
      <c r="J16">
        <v>831649684.02999997</v>
      </c>
      <c r="K16">
        <v>4846283.8899999997</v>
      </c>
      <c r="L16">
        <v>1283506032.0799999</v>
      </c>
      <c r="M16">
        <v>5198186.38</v>
      </c>
      <c r="N16">
        <v>1086005832.9100001</v>
      </c>
      <c r="O16">
        <v>1091204019.29</v>
      </c>
      <c r="P16">
        <v>192302012.78999999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2120002000</v>
      </c>
      <c r="AG16">
        <v>836847870.40999997</v>
      </c>
      <c r="AH16">
        <v>1086005832.9100001</v>
      </c>
      <c r="AI16">
        <v>1922853703.3199999</v>
      </c>
      <c r="AJ16">
        <v>197148296.68000001</v>
      </c>
      <c r="AK16" t="s">
        <v>54</v>
      </c>
      <c r="AL16" t="s">
        <v>55</v>
      </c>
      <c r="AM16" t="s">
        <v>1243</v>
      </c>
      <c r="AN16">
        <v>3787793152</v>
      </c>
      <c r="AO16">
        <v>836847870</v>
      </c>
      <c r="AP16">
        <v>2950945281</v>
      </c>
      <c r="AQ16">
        <v>77.900000000000006</v>
      </c>
      <c r="AR16">
        <v>3787793152</v>
      </c>
      <c r="AS16">
        <v>831649684</v>
      </c>
      <c r="AT16">
        <v>2956143468</v>
      </c>
      <c r="AU16">
        <v>78</v>
      </c>
      <c r="AV16">
        <v>0</v>
      </c>
      <c r="AW16">
        <v>5198186</v>
      </c>
      <c r="AX16">
        <v>-5198186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11092690297</v>
      </c>
      <c r="BM16">
        <v>836847870</v>
      </c>
      <c r="BN16">
        <v>10255842426</v>
      </c>
      <c r="BO16">
        <v>92.5</v>
      </c>
      <c r="BP16" t="s">
        <v>54</v>
      </c>
    </row>
    <row r="17" spans="1:68" x14ac:dyDescent="0.35">
      <c r="A17" t="s">
        <v>56</v>
      </c>
      <c r="B17">
        <v>10651836379.309999</v>
      </c>
      <c r="C17">
        <v>9467318887.8600006</v>
      </c>
      <c r="D17">
        <v>1122296970.99</v>
      </c>
      <c r="E17">
        <v>10589615858.85</v>
      </c>
      <c r="F17">
        <v>62220520.460000001</v>
      </c>
      <c r="G17">
        <v>6393037444.2799997</v>
      </c>
      <c r="H17">
        <v>6644655814.4300003</v>
      </c>
      <c r="I17">
        <v>40616472.75</v>
      </c>
      <c r="J17">
        <v>6685272287.1800003</v>
      </c>
      <c r="K17">
        <v>-292234842.89999998</v>
      </c>
      <c r="L17">
        <v>4258798935.0300002</v>
      </c>
      <c r="M17">
        <v>2822663073.4299998</v>
      </c>
      <c r="N17">
        <v>1081680498.24</v>
      </c>
      <c r="O17">
        <v>3904343571.6700001</v>
      </c>
      <c r="P17">
        <v>354455363.36000001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10651836379.309999</v>
      </c>
      <c r="AG17">
        <v>9467318887.8600006</v>
      </c>
      <c r="AH17">
        <v>1122296970.99</v>
      </c>
      <c r="AI17">
        <v>10589615858.85</v>
      </c>
      <c r="AJ17">
        <v>62220520.460000001</v>
      </c>
      <c r="AK17" t="s">
        <v>57</v>
      </c>
      <c r="AL17" t="s">
        <v>58</v>
      </c>
      <c r="AM17" t="s">
        <v>1244</v>
      </c>
      <c r="AN17">
        <v>1162278</v>
      </c>
      <c r="AO17">
        <v>9467318888</v>
      </c>
      <c r="AP17">
        <v>-9466156610</v>
      </c>
      <c r="AQ17">
        <v>-814448.6</v>
      </c>
      <c r="AR17">
        <v>1162278</v>
      </c>
      <c r="AS17">
        <v>6644655814</v>
      </c>
      <c r="AT17">
        <v>-6643493536</v>
      </c>
      <c r="AU17">
        <v>-571592.5</v>
      </c>
      <c r="AV17">
        <v>0</v>
      </c>
      <c r="AW17">
        <v>2822663073</v>
      </c>
      <c r="AX17">
        <v>-2822663073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9148902993</v>
      </c>
      <c r="BM17">
        <v>9467318888</v>
      </c>
      <c r="BN17">
        <v>-318415895</v>
      </c>
      <c r="BO17">
        <v>-3.5</v>
      </c>
      <c r="BP17" t="s">
        <v>57</v>
      </c>
    </row>
    <row r="18" spans="1:68" x14ac:dyDescent="0.35">
      <c r="A18" t="s">
        <v>59</v>
      </c>
      <c r="B18">
        <v>2400000000</v>
      </c>
      <c r="C18">
        <v>1957927320.24</v>
      </c>
      <c r="D18">
        <v>0</v>
      </c>
      <c r="E18">
        <v>1957927320.24</v>
      </c>
      <c r="F18">
        <v>442072679.75999999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2400000000</v>
      </c>
      <c r="M18">
        <v>1957927320.24</v>
      </c>
      <c r="N18">
        <v>0</v>
      </c>
      <c r="O18">
        <v>1957927320.24</v>
      </c>
      <c r="P18">
        <v>442072679.75999999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2400000000</v>
      </c>
      <c r="AG18">
        <v>1957927320.24</v>
      </c>
      <c r="AH18">
        <v>0</v>
      </c>
      <c r="AI18">
        <v>1957927320.24</v>
      </c>
      <c r="AJ18">
        <v>442072679.75999999</v>
      </c>
      <c r="AK18" t="s">
        <v>60</v>
      </c>
      <c r="AL18" t="s">
        <v>61</v>
      </c>
      <c r="AM18" t="s">
        <v>1245</v>
      </c>
      <c r="AN18">
        <v>4805000000</v>
      </c>
      <c r="AO18">
        <v>1957927320</v>
      </c>
      <c r="AP18">
        <v>2847072680</v>
      </c>
      <c r="AQ18">
        <v>59.3</v>
      </c>
      <c r="AR18">
        <v>0</v>
      </c>
      <c r="AS18">
        <v>0</v>
      </c>
      <c r="AT18">
        <v>0</v>
      </c>
      <c r="AU18">
        <v>0</v>
      </c>
      <c r="AV18">
        <v>4805000000</v>
      </c>
      <c r="AW18">
        <v>1957927320</v>
      </c>
      <c r="AX18">
        <v>2847072680</v>
      </c>
      <c r="AY18">
        <v>59.3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4805000000</v>
      </c>
      <c r="BM18">
        <v>1957927320</v>
      </c>
      <c r="BN18">
        <v>2847072680</v>
      </c>
      <c r="BO18">
        <v>59.3</v>
      </c>
      <c r="BP18" t="s">
        <v>60</v>
      </c>
    </row>
    <row r="19" spans="1:68" x14ac:dyDescent="0.35">
      <c r="A19" t="s">
        <v>62</v>
      </c>
      <c r="B19">
        <v>60180000</v>
      </c>
      <c r="C19">
        <v>0</v>
      </c>
      <c r="D19">
        <v>0</v>
      </c>
      <c r="E19">
        <v>0</v>
      </c>
      <c r="F19">
        <v>60180000</v>
      </c>
      <c r="G19">
        <v>0</v>
      </c>
      <c r="H19">
        <v>0</v>
      </c>
      <c r="I19">
        <v>0</v>
      </c>
      <c r="J19">
        <v>0</v>
      </c>
      <c r="K19">
        <v>0</v>
      </c>
      <c r="L19">
        <v>60180000</v>
      </c>
      <c r="M19">
        <v>0</v>
      </c>
      <c r="N19">
        <v>0</v>
      </c>
      <c r="O19">
        <v>0</v>
      </c>
      <c r="P19">
        <v>60180000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60180000</v>
      </c>
      <c r="AG19">
        <v>0</v>
      </c>
      <c r="AH19">
        <v>0</v>
      </c>
      <c r="AI19">
        <v>0</v>
      </c>
      <c r="AJ19">
        <v>60180000</v>
      </c>
      <c r="AK19" t="s">
        <v>63</v>
      </c>
      <c r="AL19" t="s">
        <v>64</v>
      </c>
    </row>
    <row r="20" spans="1:68" x14ac:dyDescent="0.35">
      <c r="A20" t="s">
        <v>65</v>
      </c>
      <c r="B20">
        <v>10669830</v>
      </c>
      <c r="C20">
        <v>10289078.01</v>
      </c>
      <c r="D20">
        <v>380751.03</v>
      </c>
      <c r="E20">
        <v>10669829.039999999</v>
      </c>
      <c r="F20">
        <v>0.96</v>
      </c>
      <c r="G20">
        <v>0</v>
      </c>
      <c r="H20">
        <v>10289078.01</v>
      </c>
      <c r="I20">
        <v>0</v>
      </c>
      <c r="J20">
        <v>10289078.01</v>
      </c>
      <c r="K20">
        <v>-10289078.01</v>
      </c>
      <c r="L20">
        <v>10669830</v>
      </c>
      <c r="M20">
        <v>0</v>
      </c>
      <c r="N20">
        <v>380751.03</v>
      </c>
      <c r="O20">
        <v>380751.03</v>
      </c>
      <c r="P20">
        <v>10289078.970000001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10669830</v>
      </c>
      <c r="AG20">
        <v>10289078.01</v>
      </c>
      <c r="AH20">
        <v>380751.03</v>
      </c>
      <c r="AI20">
        <v>10669829.039999999</v>
      </c>
      <c r="AJ20">
        <v>0.96</v>
      </c>
      <c r="AK20" t="s">
        <v>66</v>
      </c>
      <c r="AL20" t="s">
        <v>67</v>
      </c>
      <c r="AM20" t="s">
        <v>1246</v>
      </c>
      <c r="AN20">
        <v>6669830</v>
      </c>
      <c r="AO20">
        <v>10289078</v>
      </c>
      <c r="AP20">
        <v>-3619248</v>
      </c>
      <c r="AQ20">
        <v>-54.3</v>
      </c>
      <c r="AR20">
        <v>6669830</v>
      </c>
      <c r="AS20">
        <v>10289078</v>
      </c>
      <c r="AT20">
        <v>-3619248</v>
      </c>
      <c r="AU20">
        <v>-54.3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10669830</v>
      </c>
      <c r="BM20">
        <v>10289078</v>
      </c>
      <c r="BN20">
        <v>380752</v>
      </c>
      <c r="BO20">
        <v>3.6</v>
      </c>
      <c r="BP20" t="s">
        <v>66</v>
      </c>
    </row>
    <row r="21" spans="1:68" x14ac:dyDescent="0.35">
      <c r="A21" t="s">
        <v>68</v>
      </c>
      <c r="B21">
        <v>175000000</v>
      </c>
      <c r="C21">
        <v>453596291.77999997</v>
      </c>
      <c r="D21">
        <v>144501373.34</v>
      </c>
      <c r="E21">
        <v>598097665.12</v>
      </c>
      <c r="F21">
        <v>-423097665.12</v>
      </c>
      <c r="G21">
        <v>175000000</v>
      </c>
      <c r="H21">
        <v>453596291.77999997</v>
      </c>
      <c r="I21">
        <v>0</v>
      </c>
      <c r="J21">
        <v>453596291.77999997</v>
      </c>
      <c r="K21">
        <v>-278596291.77999997</v>
      </c>
      <c r="L21">
        <v>0</v>
      </c>
      <c r="M21">
        <v>0</v>
      </c>
      <c r="N21">
        <v>144501373.34</v>
      </c>
      <c r="O21">
        <v>144501373.34</v>
      </c>
      <c r="P21">
        <v>-144501373.34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175000000</v>
      </c>
      <c r="AG21">
        <v>453596291.77999997</v>
      </c>
      <c r="AH21">
        <v>144501373.34</v>
      </c>
      <c r="AI21">
        <v>598097665.12</v>
      </c>
      <c r="AJ21">
        <v>-423097665.12</v>
      </c>
      <c r="AK21" t="s">
        <v>69</v>
      </c>
      <c r="AL21" t="s">
        <v>70</v>
      </c>
      <c r="AM21" t="s">
        <v>1247</v>
      </c>
      <c r="AN21">
        <v>0</v>
      </c>
      <c r="AO21">
        <v>453596292</v>
      </c>
      <c r="AP21">
        <v>-453596292</v>
      </c>
      <c r="AQ21">
        <v>0</v>
      </c>
      <c r="AR21">
        <v>0</v>
      </c>
      <c r="AS21">
        <v>453596292</v>
      </c>
      <c r="AT21">
        <v>-453596292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453596292</v>
      </c>
      <c r="BN21">
        <v>-453596292</v>
      </c>
      <c r="BO21">
        <v>0</v>
      </c>
      <c r="BP21" t="s">
        <v>69</v>
      </c>
    </row>
    <row r="22" spans="1:68" x14ac:dyDescent="0.35">
      <c r="A22" t="s">
        <v>71</v>
      </c>
      <c r="B22">
        <v>1807443528</v>
      </c>
      <c r="C22">
        <v>1254529420.1800001</v>
      </c>
      <c r="D22">
        <v>552896819.10000002</v>
      </c>
      <c r="E22">
        <v>1807426239.28</v>
      </c>
      <c r="F22">
        <v>17288.72</v>
      </c>
      <c r="G22">
        <v>850544</v>
      </c>
      <c r="H22">
        <v>850544</v>
      </c>
      <c r="I22">
        <v>0</v>
      </c>
      <c r="J22">
        <v>850544</v>
      </c>
      <c r="K22">
        <v>0</v>
      </c>
      <c r="L22">
        <v>1806592984</v>
      </c>
      <c r="M22">
        <v>1253678876.1800001</v>
      </c>
      <c r="N22">
        <v>552896819.10000002</v>
      </c>
      <c r="O22">
        <v>1806575695.28</v>
      </c>
      <c r="P22">
        <v>17288.72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1807443528</v>
      </c>
      <c r="AG22">
        <v>1254529420.1800001</v>
      </c>
      <c r="AH22">
        <v>552896819.10000002</v>
      </c>
      <c r="AI22">
        <v>1807426239.28</v>
      </c>
      <c r="AJ22">
        <v>17288.72</v>
      </c>
      <c r="AK22" t="s">
        <v>72</v>
      </c>
      <c r="AL22" t="s">
        <v>73</v>
      </c>
      <c r="AM22" t="s">
        <v>1248</v>
      </c>
      <c r="AN22">
        <v>2951200000</v>
      </c>
      <c r="AO22">
        <v>1254529420</v>
      </c>
      <c r="AP22">
        <v>1696670580</v>
      </c>
      <c r="AQ22">
        <v>57.5</v>
      </c>
      <c r="AR22">
        <v>2951200000</v>
      </c>
      <c r="AS22">
        <v>850544</v>
      </c>
      <c r="AT22">
        <v>2950349456</v>
      </c>
      <c r="AU22">
        <v>100</v>
      </c>
      <c r="AV22">
        <v>0</v>
      </c>
      <c r="AW22">
        <v>1253678876</v>
      </c>
      <c r="AX22">
        <v>-1253678876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2951200000</v>
      </c>
      <c r="BM22">
        <v>1254529420</v>
      </c>
      <c r="BN22">
        <v>1696670580</v>
      </c>
      <c r="BO22">
        <v>57.5</v>
      </c>
      <c r="BP22" t="s">
        <v>72</v>
      </c>
    </row>
    <row r="23" spans="1:68" x14ac:dyDescent="0.35">
      <c r="A23" t="s">
        <v>74</v>
      </c>
      <c r="B23">
        <v>522382455</v>
      </c>
      <c r="C23">
        <v>1420211.16</v>
      </c>
      <c r="D23">
        <v>902748.88</v>
      </c>
      <c r="E23">
        <v>2322960.04</v>
      </c>
      <c r="F23">
        <v>520059494.95999998</v>
      </c>
      <c r="G23">
        <v>0</v>
      </c>
      <c r="H23">
        <v>0</v>
      </c>
      <c r="I23">
        <v>0</v>
      </c>
      <c r="J23">
        <v>0</v>
      </c>
      <c r="K23">
        <v>0</v>
      </c>
      <c r="L23">
        <v>522382455</v>
      </c>
      <c r="M23">
        <v>1420211.16</v>
      </c>
      <c r="N23">
        <v>902748.88</v>
      </c>
      <c r="O23">
        <v>2322960.04</v>
      </c>
      <c r="P23">
        <v>520059494.95999998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522382455</v>
      </c>
      <c r="AG23">
        <v>1420211.16</v>
      </c>
      <c r="AH23">
        <v>902748.88</v>
      </c>
      <c r="AI23">
        <v>2322960.04</v>
      </c>
      <c r="AJ23">
        <v>520059494.95999998</v>
      </c>
      <c r="AK23" t="s">
        <v>75</v>
      </c>
      <c r="AL23" t="s">
        <v>76</v>
      </c>
      <c r="AM23" t="s">
        <v>1249</v>
      </c>
      <c r="AN23">
        <v>12138960364</v>
      </c>
      <c r="AO23">
        <v>1420211</v>
      </c>
      <c r="AP23">
        <v>12137540152</v>
      </c>
      <c r="AQ23">
        <v>100</v>
      </c>
      <c r="AR23">
        <v>0</v>
      </c>
      <c r="AS23">
        <v>0</v>
      </c>
      <c r="AT23">
        <v>0</v>
      </c>
      <c r="AU23">
        <v>0</v>
      </c>
      <c r="AV23">
        <v>12138960364</v>
      </c>
      <c r="AW23">
        <v>1420211</v>
      </c>
      <c r="AX23">
        <v>12137540152</v>
      </c>
      <c r="AY23">
        <v>100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12138960364</v>
      </c>
      <c r="BM23">
        <v>1420211</v>
      </c>
      <c r="BN23">
        <v>12137540152</v>
      </c>
      <c r="BO23">
        <v>100</v>
      </c>
      <c r="BP23" t="s">
        <v>75</v>
      </c>
    </row>
    <row r="24" spans="1:68" x14ac:dyDescent="0.35">
      <c r="A24" t="s">
        <v>77</v>
      </c>
      <c r="B24">
        <v>1350000000</v>
      </c>
      <c r="C24">
        <v>1176000</v>
      </c>
      <c r="D24">
        <v>574000</v>
      </c>
      <c r="E24">
        <v>1750000</v>
      </c>
      <c r="F24">
        <v>1348250000</v>
      </c>
      <c r="G24">
        <v>0</v>
      </c>
      <c r="H24">
        <v>0</v>
      </c>
      <c r="I24">
        <v>0</v>
      </c>
      <c r="J24">
        <v>0</v>
      </c>
      <c r="K24">
        <v>0</v>
      </c>
      <c r="L24">
        <v>1350000000</v>
      </c>
      <c r="M24">
        <v>1176000</v>
      </c>
      <c r="N24">
        <v>574000</v>
      </c>
      <c r="O24">
        <v>1750000</v>
      </c>
      <c r="P24">
        <v>1348250000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1350000000</v>
      </c>
      <c r="AG24">
        <v>1176000</v>
      </c>
      <c r="AH24">
        <v>574000</v>
      </c>
      <c r="AI24">
        <v>1750000</v>
      </c>
      <c r="AJ24">
        <v>1348250000</v>
      </c>
      <c r="AK24" t="s">
        <v>78</v>
      </c>
      <c r="AL24" t="s">
        <v>79</v>
      </c>
      <c r="AM24" t="s">
        <v>1250</v>
      </c>
      <c r="AN24">
        <v>0</v>
      </c>
      <c r="AO24">
        <v>1176000</v>
      </c>
      <c r="AP24">
        <v>-1176000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1176000</v>
      </c>
      <c r="AX24">
        <v>-1176000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1176000</v>
      </c>
      <c r="BN24">
        <v>-1176000</v>
      </c>
      <c r="BO24">
        <v>0</v>
      </c>
      <c r="BP24" t="s">
        <v>78</v>
      </c>
    </row>
    <row r="25" spans="1:68" x14ac:dyDescent="0.35">
      <c r="A25" t="s">
        <v>80</v>
      </c>
      <c r="B25">
        <v>37386464.700000003</v>
      </c>
      <c r="C25">
        <v>45813962.719999999</v>
      </c>
      <c r="D25">
        <v>1018104</v>
      </c>
      <c r="E25">
        <v>46832066.719999999</v>
      </c>
      <c r="F25">
        <v>-9445602.0199999996</v>
      </c>
      <c r="G25">
        <v>28694847.899999999</v>
      </c>
      <c r="H25">
        <v>38047110.68</v>
      </c>
      <c r="I25">
        <v>0</v>
      </c>
      <c r="J25">
        <v>38047110.68</v>
      </c>
      <c r="K25">
        <v>-9352262.7799999993</v>
      </c>
      <c r="L25">
        <v>8691616.8000000007</v>
      </c>
      <c r="M25">
        <v>7766852.04</v>
      </c>
      <c r="N25">
        <v>1018104</v>
      </c>
      <c r="O25">
        <v>8784956.0399999991</v>
      </c>
      <c r="P25">
        <v>-93339.24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37386464.700000003</v>
      </c>
      <c r="AG25">
        <v>45813962.719999999</v>
      </c>
      <c r="AH25">
        <v>1018104</v>
      </c>
      <c r="AI25">
        <v>46832066.719999999</v>
      </c>
      <c r="AJ25">
        <v>-9445602.0199999996</v>
      </c>
      <c r="AK25" t="s">
        <v>81</v>
      </c>
      <c r="AL25" t="s">
        <v>82</v>
      </c>
      <c r="AM25" t="s">
        <v>1251</v>
      </c>
      <c r="AN25">
        <v>668500000</v>
      </c>
      <c r="AO25">
        <v>45813963</v>
      </c>
      <c r="AP25">
        <v>622686037</v>
      </c>
      <c r="AQ25">
        <v>93.1</v>
      </c>
      <c r="AR25">
        <v>668500000</v>
      </c>
      <c r="AS25">
        <v>38047111</v>
      </c>
      <c r="AT25">
        <v>630452889</v>
      </c>
      <c r="AU25">
        <v>94.3</v>
      </c>
      <c r="AV25">
        <v>0</v>
      </c>
      <c r="AW25">
        <v>7766852</v>
      </c>
      <c r="AX25">
        <v>-7766852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668500000</v>
      </c>
      <c r="BM25">
        <v>45813963</v>
      </c>
      <c r="BN25">
        <v>622686037</v>
      </c>
      <c r="BO25">
        <v>93.1</v>
      </c>
      <c r="BP25" t="s">
        <v>81</v>
      </c>
    </row>
    <row r="26" spans="1:68" x14ac:dyDescent="0.35">
      <c r="A26" t="s">
        <v>83</v>
      </c>
      <c r="B26">
        <v>1058534096</v>
      </c>
      <c r="C26">
        <v>784932907.60000002</v>
      </c>
      <c r="D26">
        <v>211412679.68000001</v>
      </c>
      <c r="E26">
        <v>996345587.27999997</v>
      </c>
      <c r="F26">
        <v>62188508.719999999</v>
      </c>
      <c r="G26">
        <v>547292042.55999994</v>
      </c>
      <c r="H26">
        <v>547292042.55999994</v>
      </c>
      <c r="I26">
        <v>0</v>
      </c>
      <c r="J26">
        <v>547292042.55999994</v>
      </c>
      <c r="K26">
        <v>0</v>
      </c>
      <c r="L26">
        <v>511242053.44</v>
      </c>
      <c r="M26">
        <v>237640865.03999999</v>
      </c>
      <c r="N26">
        <v>211412679.68000001</v>
      </c>
      <c r="O26">
        <v>449053544.72000003</v>
      </c>
      <c r="P26">
        <v>62188508.719999999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1058534096</v>
      </c>
      <c r="AG26">
        <v>784932907.60000002</v>
      </c>
      <c r="AH26">
        <v>211412679.68000001</v>
      </c>
      <c r="AI26">
        <v>996345587.27999997</v>
      </c>
      <c r="AJ26">
        <v>62188508.719999999</v>
      </c>
      <c r="AK26" t="s">
        <v>84</v>
      </c>
      <c r="AL26" t="s">
        <v>85</v>
      </c>
      <c r="AM26" t="s">
        <v>1252</v>
      </c>
      <c r="AN26">
        <v>1058534096</v>
      </c>
      <c r="AO26">
        <v>784932908</v>
      </c>
      <c r="AP26">
        <v>273601188</v>
      </c>
      <c r="AQ26">
        <v>25.8</v>
      </c>
      <c r="AR26">
        <v>1058534096</v>
      </c>
      <c r="AS26">
        <v>547292043</v>
      </c>
      <c r="AT26">
        <v>511242053</v>
      </c>
      <c r="AU26">
        <v>48.3</v>
      </c>
      <c r="AV26">
        <v>0</v>
      </c>
      <c r="AW26">
        <v>237640865</v>
      </c>
      <c r="AX26">
        <v>-237640865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1058534096</v>
      </c>
      <c r="BM26">
        <v>784932908</v>
      </c>
      <c r="BN26">
        <v>273601188</v>
      </c>
      <c r="BO26">
        <v>25.8</v>
      </c>
      <c r="BP26" t="s">
        <v>84</v>
      </c>
    </row>
    <row r="27" spans="1:68" x14ac:dyDescent="0.35">
      <c r="A27" t="s">
        <v>86</v>
      </c>
      <c r="B27">
        <v>173380000</v>
      </c>
      <c r="C27">
        <v>6139687.5</v>
      </c>
      <c r="D27">
        <v>5321062.5</v>
      </c>
      <c r="E27">
        <v>11460750</v>
      </c>
      <c r="F27">
        <v>161919250</v>
      </c>
      <c r="G27">
        <v>2455875</v>
      </c>
      <c r="H27">
        <v>2455875</v>
      </c>
      <c r="I27">
        <v>0</v>
      </c>
      <c r="J27">
        <v>2455875</v>
      </c>
      <c r="K27">
        <v>0</v>
      </c>
      <c r="L27">
        <v>170924125</v>
      </c>
      <c r="M27">
        <v>3683812.5</v>
      </c>
      <c r="N27">
        <v>5321062.5</v>
      </c>
      <c r="O27">
        <v>9004875</v>
      </c>
      <c r="P27">
        <v>161919250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173380000</v>
      </c>
      <c r="AG27">
        <v>6139687.5</v>
      </c>
      <c r="AH27">
        <v>5321062.5</v>
      </c>
      <c r="AI27">
        <v>11460750</v>
      </c>
      <c r="AJ27">
        <v>161919250</v>
      </c>
      <c r="AK27" t="s">
        <v>87</v>
      </c>
      <c r="AL27" t="s">
        <v>88</v>
      </c>
      <c r="AM27" t="s">
        <v>1253</v>
      </c>
      <c r="AN27">
        <v>6720</v>
      </c>
      <c r="AO27">
        <v>6139688</v>
      </c>
      <c r="AP27">
        <v>-6132968</v>
      </c>
      <c r="AQ27">
        <v>-91271.2</v>
      </c>
      <c r="AR27">
        <v>6720</v>
      </c>
      <c r="AS27">
        <v>2455875</v>
      </c>
      <c r="AT27">
        <v>-2449156</v>
      </c>
      <c r="AU27">
        <v>-36448.5</v>
      </c>
      <c r="AV27">
        <v>0</v>
      </c>
      <c r="AW27">
        <v>3683813</v>
      </c>
      <c r="AX27">
        <v>-3683813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6551</v>
      </c>
      <c r="BM27">
        <v>6139688</v>
      </c>
      <c r="BN27">
        <v>-6133137</v>
      </c>
      <c r="BO27">
        <v>-93624.2</v>
      </c>
      <c r="BP27" t="s">
        <v>87</v>
      </c>
    </row>
    <row r="28" spans="1:68" x14ac:dyDescent="0.35">
      <c r="A28" t="s">
        <v>89</v>
      </c>
      <c r="B28">
        <v>4228245116.1100001</v>
      </c>
      <c r="C28">
        <v>1471810906.1500001</v>
      </c>
      <c r="D28">
        <v>1316122677.9100001</v>
      </c>
      <c r="E28">
        <v>2787933584.0599999</v>
      </c>
      <c r="F28">
        <v>1440311532.05</v>
      </c>
      <c r="G28">
        <v>1003676417.0599999</v>
      </c>
      <c r="H28">
        <v>1004829466.45</v>
      </c>
      <c r="I28">
        <v>0</v>
      </c>
      <c r="J28">
        <v>1004829466.45</v>
      </c>
      <c r="K28">
        <v>-1153049.3899999999</v>
      </c>
      <c r="L28">
        <v>3224568699.0500002</v>
      </c>
      <c r="M28">
        <v>466981439.69999999</v>
      </c>
      <c r="N28">
        <v>1316122677.9100001</v>
      </c>
      <c r="O28">
        <v>1783104117.6099999</v>
      </c>
      <c r="P28">
        <v>1441464581.4400001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4228245116.1100001</v>
      </c>
      <c r="AG28">
        <v>1471810906.1500001</v>
      </c>
      <c r="AH28">
        <v>1316122677.9100001</v>
      </c>
      <c r="AI28">
        <v>2787933584.0599999</v>
      </c>
      <c r="AJ28">
        <v>1440311532.05</v>
      </c>
      <c r="AK28" t="s">
        <v>90</v>
      </c>
      <c r="AL28" t="s">
        <v>91</v>
      </c>
      <c r="AM28" t="s">
        <v>1254</v>
      </c>
      <c r="AN28">
        <v>12542700000</v>
      </c>
      <c r="AO28">
        <v>1471810906</v>
      </c>
      <c r="AP28">
        <v>11070889094</v>
      </c>
      <c r="AQ28">
        <v>88.3</v>
      </c>
      <c r="AR28">
        <v>11542700000</v>
      </c>
      <c r="AS28">
        <v>1004829466</v>
      </c>
      <c r="AT28">
        <v>10537870534</v>
      </c>
      <c r="AU28">
        <v>91.3</v>
      </c>
      <c r="AV28">
        <v>1000000000</v>
      </c>
      <c r="AW28">
        <v>466981440</v>
      </c>
      <c r="AX28">
        <v>533018560</v>
      </c>
      <c r="AY28">
        <v>53.3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11542700000</v>
      </c>
      <c r="BM28">
        <v>1471810906</v>
      </c>
      <c r="BN28">
        <v>10070889094</v>
      </c>
      <c r="BO28">
        <v>87.2</v>
      </c>
      <c r="BP28" t="s">
        <v>90</v>
      </c>
    </row>
    <row r="29" spans="1:68" x14ac:dyDescent="0.35">
      <c r="A29" t="s">
        <v>92</v>
      </c>
      <c r="B29">
        <v>6029690000</v>
      </c>
      <c r="C29">
        <v>1529689520</v>
      </c>
      <c r="D29">
        <v>4465979254.3999996</v>
      </c>
      <c r="E29">
        <v>5995668774.3999996</v>
      </c>
      <c r="F29">
        <v>34021225.600000001</v>
      </c>
      <c r="G29">
        <v>1529689520</v>
      </c>
      <c r="H29">
        <v>1529689520</v>
      </c>
      <c r="I29">
        <v>0</v>
      </c>
      <c r="J29">
        <v>1529689520</v>
      </c>
      <c r="K29">
        <v>0</v>
      </c>
      <c r="L29">
        <v>4500000480</v>
      </c>
      <c r="M29">
        <v>0</v>
      </c>
      <c r="N29">
        <v>4465979254.3999996</v>
      </c>
      <c r="O29">
        <v>4465979254.3999996</v>
      </c>
      <c r="P29">
        <v>34021225.600000001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6029690000</v>
      </c>
      <c r="AG29">
        <v>1529689520</v>
      </c>
      <c r="AH29">
        <v>4465979254.3999996</v>
      </c>
      <c r="AI29">
        <v>5995668774.3999996</v>
      </c>
      <c r="AJ29">
        <v>34021225.600000001</v>
      </c>
      <c r="AK29" t="s">
        <v>93</v>
      </c>
      <c r="AL29" t="s">
        <v>94</v>
      </c>
      <c r="AM29" t="s">
        <v>1255</v>
      </c>
      <c r="AN29">
        <v>0</v>
      </c>
      <c r="AO29">
        <v>1529689520</v>
      </c>
      <c r="AP29">
        <v>-1529689520</v>
      </c>
      <c r="AQ29">
        <v>0</v>
      </c>
      <c r="AR29">
        <v>0</v>
      </c>
      <c r="AS29">
        <v>1529689520</v>
      </c>
      <c r="AT29">
        <v>-1529689520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1529689520</v>
      </c>
      <c r="BN29">
        <v>-1529689520</v>
      </c>
      <c r="BO29">
        <v>0</v>
      </c>
      <c r="BP29" t="s">
        <v>93</v>
      </c>
    </row>
    <row r="30" spans="1:68" x14ac:dyDescent="0.35">
      <c r="A30" t="s">
        <v>95</v>
      </c>
      <c r="B30">
        <v>310612947.58999997</v>
      </c>
      <c r="C30">
        <v>283409806.08999997</v>
      </c>
      <c r="D30">
        <v>27197650.309999999</v>
      </c>
      <c r="E30">
        <v>310607456.39999998</v>
      </c>
      <c r="F30">
        <v>5491.19</v>
      </c>
      <c r="G30">
        <v>257973124.93000001</v>
      </c>
      <c r="H30">
        <v>257973124.93000001</v>
      </c>
      <c r="I30">
        <v>0.59</v>
      </c>
      <c r="J30">
        <v>257973125.52000001</v>
      </c>
      <c r="K30">
        <v>-0.59</v>
      </c>
      <c r="L30">
        <v>52639822.659999996</v>
      </c>
      <c r="M30">
        <v>25436681.16</v>
      </c>
      <c r="N30">
        <v>27197649.719999999</v>
      </c>
      <c r="O30">
        <v>52634330.880000003</v>
      </c>
      <c r="P30">
        <v>5491.78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310612947.58999997</v>
      </c>
      <c r="AG30">
        <v>283409806.08999997</v>
      </c>
      <c r="AH30">
        <v>27197650.309999999</v>
      </c>
      <c r="AI30">
        <v>310607456.39999998</v>
      </c>
      <c r="AJ30">
        <v>5491.19</v>
      </c>
      <c r="AK30" t="s">
        <v>96</v>
      </c>
      <c r="AL30" t="s">
        <v>97</v>
      </c>
      <c r="AM30" t="s">
        <v>1256</v>
      </c>
      <c r="AN30">
        <v>307545691</v>
      </c>
      <c r="AO30">
        <v>283409806</v>
      </c>
      <c r="AP30">
        <v>24135885</v>
      </c>
      <c r="AQ30">
        <v>7.8</v>
      </c>
      <c r="AR30">
        <v>307545691</v>
      </c>
      <c r="AS30">
        <v>257973125</v>
      </c>
      <c r="AT30">
        <v>49572566</v>
      </c>
      <c r="AU30">
        <v>16.100000000000001</v>
      </c>
      <c r="AV30">
        <v>0</v>
      </c>
      <c r="AW30">
        <v>25436681</v>
      </c>
      <c r="AX30">
        <v>-25436681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307545691</v>
      </c>
      <c r="BM30">
        <v>283409806</v>
      </c>
      <c r="BN30">
        <v>24135885</v>
      </c>
      <c r="BO30">
        <v>7.8</v>
      </c>
      <c r="BP30" t="s">
        <v>96</v>
      </c>
    </row>
    <row r="31" spans="1:68" x14ac:dyDescent="0.35">
      <c r="A31" t="s">
        <v>98</v>
      </c>
      <c r="B31">
        <v>23203970</v>
      </c>
      <c r="C31">
        <v>18416660</v>
      </c>
      <c r="D31">
        <v>4604165</v>
      </c>
      <c r="E31">
        <v>23020825</v>
      </c>
      <c r="F31">
        <v>183145</v>
      </c>
      <c r="G31">
        <v>18416660</v>
      </c>
      <c r="H31">
        <v>18416660</v>
      </c>
      <c r="I31">
        <v>0</v>
      </c>
      <c r="J31">
        <v>18416660</v>
      </c>
      <c r="K31">
        <v>0</v>
      </c>
      <c r="L31">
        <v>4787310</v>
      </c>
      <c r="M31">
        <v>0</v>
      </c>
      <c r="N31">
        <v>4604165</v>
      </c>
      <c r="O31">
        <v>4604165</v>
      </c>
      <c r="P31">
        <v>183145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23203970</v>
      </c>
      <c r="AG31">
        <v>18416660</v>
      </c>
      <c r="AH31">
        <v>4604165</v>
      </c>
      <c r="AI31">
        <v>23020825</v>
      </c>
      <c r="AJ31">
        <v>183145</v>
      </c>
      <c r="AK31" t="s">
        <v>99</v>
      </c>
      <c r="AL31" t="s">
        <v>100</v>
      </c>
      <c r="AM31" t="s">
        <v>1257</v>
      </c>
      <c r="AN31">
        <v>0</v>
      </c>
      <c r="AO31">
        <v>18416660</v>
      </c>
      <c r="AP31">
        <v>-18416660</v>
      </c>
      <c r="AQ31">
        <v>0</v>
      </c>
      <c r="AR31">
        <v>0</v>
      </c>
      <c r="AS31">
        <v>18416660</v>
      </c>
      <c r="AT31">
        <v>-18416660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18416660</v>
      </c>
      <c r="BN31">
        <v>-18416660</v>
      </c>
      <c r="BO31">
        <v>0</v>
      </c>
      <c r="BP31" t="s">
        <v>99</v>
      </c>
    </row>
    <row r="32" spans="1:68" x14ac:dyDescent="0.35">
      <c r="A32" t="s">
        <v>101</v>
      </c>
      <c r="B32">
        <v>3439334918.1500001</v>
      </c>
      <c r="C32">
        <v>2896078366.8499999</v>
      </c>
      <c r="D32">
        <v>281949008.13</v>
      </c>
      <c r="E32">
        <v>3178027374.98</v>
      </c>
      <c r="F32">
        <v>261307543.16999999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3439334918.1500001</v>
      </c>
      <c r="M32">
        <v>2896078366.8499999</v>
      </c>
      <c r="N32">
        <v>281949008.13</v>
      </c>
      <c r="O32">
        <v>3178027374.98</v>
      </c>
      <c r="P32">
        <v>261307543.16999999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3439334918.1500001</v>
      </c>
      <c r="AG32">
        <v>2896078366.8499999</v>
      </c>
      <c r="AH32">
        <v>281949008.13</v>
      </c>
      <c r="AI32">
        <v>3178027374.98</v>
      </c>
      <c r="AJ32">
        <v>261307543.16999999</v>
      </c>
      <c r="AK32" t="s">
        <v>102</v>
      </c>
      <c r="AL32" t="s">
        <v>103</v>
      </c>
      <c r="AM32" t="s">
        <v>1258</v>
      </c>
      <c r="AN32">
        <v>4207312750</v>
      </c>
      <c r="AO32">
        <v>2896078367</v>
      </c>
      <c r="AP32">
        <v>1311234383</v>
      </c>
      <c r="AQ32">
        <v>31.2</v>
      </c>
      <c r="AR32">
        <v>4207312750</v>
      </c>
      <c r="AS32">
        <v>0</v>
      </c>
      <c r="AT32">
        <v>4207312750</v>
      </c>
      <c r="AU32">
        <v>100</v>
      </c>
      <c r="AV32">
        <v>0</v>
      </c>
      <c r="AW32">
        <v>2896078367</v>
      </c>
      <c r="AX32">
        <v>-2896078367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4207312750</v>
      </c>
      <c r="BM32">
        <v>2896078367</v>
      </c>
      <c r="BN32">
        <v>1311234383</v>
      </c>
      <c r="BO32">
        <v>31.2</v>
      </c>
      <c r="BP32" t="s">
        <v>102</v>
      </c>
    </row>
    <row r="33" spans="1:68" x14ac:dyDescent="0.35">
      <c r="A33" t="s">
        <v>104</v>
      </c>
      <c r="B33">
        <v>1832848400</v>
      </c>
      <c r="C33">
        <v>338512013.31999999</v>
      </c>
      <c r="D33">
        <v>28515246.739999998</v>
      </c>
      <c r="E33">
        <v>367027260.06</v>
      </c>
      <c r="F33">
        <v>1465821139.9400001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1832848400</v>
      </c>
      <c r="M33">
        <v>338512013.31999999</v>
      </c>
      <c r="N33">
        <v>14783162.74</v>
      </c>
      <c r="O33">
        <v>353295176.06</v>
      </c>
      <c r="P33">
        <v>1479553223.9400001</v>
      </c>
      <c r="Q33">
        <v>0</v>
      </c>
      <c r="R33">
        <v>0</v>
      </c>
      <c r="S33">
        <v>13732084</v>
      </c>
      <c r="T33">
        <v>13732084</v>
      </c>
      <c r="U33">
        <v>-13732084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1832848400</v>
      </c>
      <c r="AG33">
        <v>338512013.31999999</v>
      </c>
      <c r="AH33">
        <v>28515246.739999998</v>
      </c>
      <c r="AI33">
        <v>367027260.06</v>
      </c>
      <c r="AJ33">
        <v>1465821139.9400001</v>
      </c>
      <c r="AK33" t="s">
        <v>105</v>
      </c>
      <c r="AL33" t="s">
        <v>106</v>
      </c>
      <c r="AM33" t="s">
        <v>1259</v>
      </c>
      <c r="AN33">
        <v>4962100000</v>
      </c>
      <c r="AO33">
        <v>338512013</v>
      </c>
      <c r="AP33">
        <v>4623587987</v>
      </c>
      <c r="AQ33">
        <v>93.2</v>
      </c>
      <c r="AR33">
        <v>0</v>
      </c>
      <c r="AS33">
        <v>0</v>
      </c>
      <c r="AT33">
        <v>0</v>
      </c>
      <c r="AU33">
        <v>0</v>
      </c>
      <c r="AV33">
        <v>4962100000</v>
      </c>
      <c r="AW33">
        <v>338512013</v>
      </c>
      <c r="AX33">
        <v>4623587987</v>
      </c>
      <c r="AY33">
        <v>93.2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4962100000</v>
      </c>
      <c r="BM33">
        <v>338512013</v>
      </c>
      <c r="BN33">
        <v>4623587987</v>
      </c>
      <c r="BO33">
        <v>93.2</v>
      </c>
      <c r="BP33" t="s">
        <v>105</v>
      </c>
    </row>
    <row r="34" spans="1:68" x14ac:dyDescent="0.35">
      <c r="A34" t="s">
        <v>107</v>
      </c>
      <c r="B34">
        <v>2049073138</v>
      </c>
      <c r="C34">
        <v>80306641.090000004</v>
      </c>
      <c r="D34">
        <v>205774959.66999999</v>
      </c>
      <c r="E34">
        <v>286081600.75999999</v>
      </c>
      <c r="F34">
        <v>1762991537.24</v>
      </c>
      <c r="G34">
        <v>25939462.34</v>
      </c>
      <c r="H34">
        <v>25939462.34</v>
      </c>
      <c r="I34">
        <v>172507740</v>
      </c>
      <c r="J34">
        <v>198447202.34</v>
      </c>
      <c r="K34">
        <v>-172507740</v>
      </c>
      <c r="L34">
        <v>2023133675.6600001</v>
      </c>
      <c r="M34">
        <v>54367178.75</v>
      </c>
      <c r="N34">
        <v>33267219.670000002</v>
      </c>
      <c r="O34">
        <v>87634398.420000002</v>
      </c>
      <c r="P34">
        <v>1935499277.24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2049073138</v>
      </c>
      <c r="AG34">
        <v>80306641.090000004</v>
      </c>
      <c r="AH34">
        <v>205774959.66999999</v>
      </c>
      <c r="AI34">
        <v>286081600.75999999</v>
      </c>
      <c r="AJ34">
        <v>1762991537.24</v>
      </c>
      <c r="AK34" t="s">
        <v>108</v>
      </c>
      <c r="AL34" t="s">
        <v>109</v>
      </c>
      <c r="AM34" t="s">
        <v>1260</v>
      </c>
      <c r="AN34">
        <v>0</v>
      </c>
      <c r="AO34">
        <v>80306641</v>
      </c>
      <c r="AP34">
        <v>-80306641</v>
      </c>
      <c r="AQ34">
        <v>0</v>
      </c>
      <c r="AR34">
        <v>0</v>
      </c>
      <c r="AS34">
        <v>25939462</v>
      </c>
      <c r="AT34">
        <v>-25939462</v>
      </c>
      <c r="AU34">
        <v>0</v>
      </c>
      <c r="AV34">
        <v>0</v>
      </c>
      <c r="AW34">
        <v>54367179</v>
      </c>
      <c r="AX34">
        <v>-54367179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80306641</v>
      </c>
      <c r="BN34">
        <v>-80306641</v>
      </c>
      <c r="BO34">
        <v>0</v>
      </c>
      <c r="BP34" t="s">
        <v>108</v>
      </c>
    </row>
    <row r="35" spans="1:68" x14ac:dyDescent="0.35">
      <c r="A35" t="s">
        <v>110</v>
      </c>
      <c r="B35">
        <v>2700000</v>
      </c>
      <c r="C35">
        <v>0</v>
      </c>
      <c r="D35">
        <v>0</v>
      </c>
      <c r="E35">
        <v>0</v>
      </c>
      <c r="F35">
        <v>2700000</v>
      </c>
      <c r="G35">
        <v>0</v>
      </c>
      <c r="H35">
        <v>0</v>
      </c>
      <c r="I35">
        <v>0</v>
      </c>
      <c r="J35">
        <v>0</v>
      </c>
      <c r="K35">
        <v>0</v>
      </c>
      <c r="L35">
        <v>2700000</v>
      </c>
      <c r="M35">
        <v>0</v>
      </c>
      <c r="N35">
        <v>0</v>
      </c>
      <c r="O35">
        <v>0</v>
      </c>
      <c r="P35">
        <v>2700000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2700000</v>
      </c>
      <c r="AG35">
        <v>0</v>
      </c>
      <c r="AH35">
        <v>0</v>
      </c>
      <c r="AI35">
        <v>0</v>
      </c>
      <c r="AJ35">
        <v>2700000</v>
      </c>
      <c r="AK35" t="s">
        <v>111</v>
      </c>
      <c r="AL35" t="s">
        <v>112</v>
      </c>
      <c r="AM35" t="s">
        <v>1261</v>
      </c>
      <c r="AN35">
        <v>2800000</v>
      </c>
      <c r="AO35">
        <v>0</v>
      </c>
      <c r="AP35">
        <v>2800000</v>
      </c>
      <c r="AQ35">
        <v>100</v>
      </c>
      <c r="AR35">
        <v>2700000</v>
      </c>
      <c r="AS35">
        <v>0</v>
      </c>
      <c r="AT35">
        <v>2700000</v>
      </c>
      <c r="AU35">
        <v>100</v>
      </c>
      <c r="AV35">
        <v>0</v>
      </c>
      <c r="AW35">
        <v>0</v>
      </c>
      <c r="AX35">
        <v>0</v>
      </c>
      <c r="AY35">
        <v>0</v>
      </c>
      <c r="AZ35">
        <v>100000</v>
      </c>
      <c r="BA35">
        <v>0</v>
      </c>
      <c r="BB35">
        <v>100000</v>
      </c>
      <c r="BC35">
        <v>100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2700000</v>
      </c>
      <c r="BM35">
        <v>0</v>
      </c>
      <c r="BN35">
        <v>2700000</v>
      </c>
      <c r="BO35">
        <v>100</v>
      </c>
      <c r="BP35" t="s">
        <v>111</v>
      </c>
    </row>
    <row r="36" spans="1:68" x14ac:dyDescent="0.35">
      <c r="A36" t="s">
        <v>113</v>
      </c>
      <c r="B36">
        <v>212961902.13999999</v>
      </c>
      <c r="C36">
        <v>115301350.17</v>
      </c>
      <c r="D36">
        <v>26790650.609999999</v>
      </c>
      <c r="E36">
        <v>142092000.78</v>
      </c>
      <c r="F36">
        <v>70869901.359999999</v>
      </c>
      <c r="G36">
        <v>54526120.5</v>
      </c>
      <c r="H36">
        <v>54526120.5</v>
      </c>
      <c r="I36">
        <v>0</v>
      </c>
      <c r="J36">
        <v>54526120.5</v>
      </c>
      <c r="K36">
        <v>0</v>
      </c>
      <c r="L36">
        <v>158435781.63999999</v>
      </c>
      <c r="M36">
        <v>60775229.670000002</v>
      </c>
      <c r="N36">
        <v>26790650.609999999</v>
      </c>
      <c r="O36">
        <v>87565880.280000001</v>
      </c>
      <c r="P36">
        <v>70869901.359999999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214561902.13999999</v>
      </c>
      <c r="AG36">
        <v>115301350.17</v>
      </c>
      <c r="AH36">
        <v>26790650.609999999</v>
      </c>
      <c r="AI36">
        <v>142092000.78</v>
      </c>
      <c r="AJ36">
        <v>72469901.359999999</v>
      </c>
      <c r="AK36" t="s">
        <v>114</v>
      </c>
      <c r="AL36" t="s">
        <v>115</v>
      </c>
      <c r="AM36" t="s">
        <v>1262</v>
      </c>
      <c r="AN36">
        <v>194025092</v>
      </c>
      <c r="AO36">
        <v>115301350</v>
      </c>
      <c r="AP36">
        <v>78723742</v>
      </c>
      <c r="AQ36">
        <v>40.6</v>
      </c>
      <c r="AR36">
        <v>194025092</v>
      </c>
      <c r="AS36">
        <v>54526121</v>
      </c>
      <c r="AT36">
        <v>139498972</v>
      </c>
      <c r="AU36">
        <v>71.900000000000006</v>
      </c>
      <c r="AV36">
        <v>0</v>
      </c>
      <c r="AW36">
        <v>60775230</v>
      </c>
      <c r="AX36">
        <v>-60775230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194025092</v>
      </c>
      <c r="BM36">
        <v>115301350</v>
      </c>
      <c r="BN36">
        <v>78723742</v>
      </c>
      <c r="BO36">
        <v>40.6</v>
      </c>
      <c r="BP36" t="s">
        <v>114</v>
      </c>
    </row>
    <row r="37" spans="1:68" x14ac:dyDescent="0.35">
      <c r="A37" t="s">
        <v>116</v>
      </c>
      <c r="B37">
        <v>262789970</v>
      </c>
      <c r="C37">
        <v>203617984.94999999</v>
      </c>
      <c r="D37">
        <v>8484193.6999999993</v>
      </c>
      <c r="E37">
        <v>212102178.65000001</v>
      </c>
      <c r="F37">
        <v>50687791.350000001</v>
      </c>
      <c r="G37">
        <v>101164735.59</v>
      </c>
      <c r="H37">
        <v>101164735.59</v>
      </c>
      <c r="I37">
        <v>0</v>
      </c>
      <c r="J37">
        <v>101164735.59</v>
      </c>
      <c r="K37">
        <v>0</v>
      </c>
      <c r="L37">
        <v>161625234.41</v>
      </c>
      <c r="M37">
        <v>102453249.36</v>
      </c>
      <c r="N37">
        <v>8484193.6999999993</v>
      </c>
      <c r="O37">
        <v>110937443.06</v>
      </c>
      <c r="P37">
        <v>50687791.350000001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262789970</v>
      </c>
      <c r="AG37">
        <v>203617984.94999999</v>
      </c>
      <c r="AH37">
        <v>8484193.6999999993</v>
      </c>
      <c r="AI37">
        <v>212102178.65000001</v>
      </c>
      <c r="AJ37">
        <v>50687791.350000001</v>
      </c>
      <c r="AK37" t="s">
        <v>117</v>
      </c>
      <c r="AL37" t="s">
        <v>118</v>
      </c>
      <c r="AM37" t="s">
        <v>1263</v>
      </c>
      <c r="AN37">
        <v>0</v>
      </c>
      <c r="AO37">
        <v>203617985</v>
      </c>
      <c r="AP37">
        <v>-203617985</v>
      </c>
      <c r="AQ37">
        <v>0</v>
      </c>
      <c r="AR37">
        <v>0</v>
      </c>
      <c r="AS37">
        <v>101164736</v>
      </c>
      <c r="AT37">
        <v>-101164736</v>
      </c>
      <c r="AU37">
        <v>0</v>
      </c>
      <c r="AV37">
        <v>0</v>
      </c>
      <c r="AW37">
        <v>102453249</v>
      </c>
      <c r="AX37">
        <v>-102453249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203617985</v>
      </c>
      <c r="BN37">
        <v>-203617985</v>
      </c>
      <c r="BO37">
        <v>0</v>
      </c>
      <c r="BP37" t="s">
        <v>117</v>
      </c>
    </row>
    <row r="38" spans="1:68" x14ac:dyDescent="0.35">
      <c r="A38" t="s">
        <v>119</v>
      </c>
      <c r="B38">
        <v>544311577.58000004</v>
      </c>
      <c r="C38">
        <v>421099462.04000002</v>
      </c>
      <c r="D38">
        <v>14525503.84</v>
      </c>
      <c r="E38">
        <v>435624965.88</v>
      </c>
      <c r="F38">
        <v>108686611.7</v>
      </c>
      <c r="G38">
        <v>363126109.41000003</v>
      </c>
      <c r="H38">
        <v>363126109.41000003</v>
      </c>
      <c r="I38">
        <v>0</v>
      </c>
      <c r="J38">
        <v>363126109.41000003</v>
      </c>
      <c r="K38">
        <v>0</v>
      </c>
      <c r="L38">
        <v>181185468.16999999</v>
      </c>
      <c r="M38">
        <v>57973352.630000003</v>
      </c>
      <c r="N38">
        <v>6319686.8399999999</v>
      </c>
      <c r="O38">
        <v>64293039.469999999</v>
      </c>
      <c r="P38">
        <v>116892428.7</v>
      </c>
      <c r="Q38">
        <v>0</v>
      </c>
      <c r="R38">
        <v>0</v>
      </c>
      <c r="S38">
        <v>8205817</v>
      </c>
      <c r="T38">
        <v>8205817</v>
      </c>
      <c r="U38">
        <v>-8205817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545911586.58000004</v>
      </c>
      <c r="AG38">
        <v>421099462.04000002</v>
      </c>
      <c r="AH38">
        <v>14525503.84</v>
      </c>
      <c r="AI38">
        <v>435624965.88</v>
      </c>
      <c r="AJ38">
        <v>110286620.7</v>
      </c>
      <c r="AK38" t="s">
        <v>120</v>
      </c>
      <c r="AL38" t="s">
        <v>121</v>
      </c>
      <c r="AM38" t="s">
        <v>1264</v>
      </c>
      <c r="AN38">
        <v>224881217</v>
      </c>
      <c r="AO38">
        <v>421099462</v>
      </c>
      <c r="AP38">
        <v>-196218245</v>
      </c>
      <c r="AQ38">
        <v>-87.3</v>
      </c>
      <c r="AR38">
        <v>224881217</v>
      </c>
      <c r="AS38">
        <v>363126109</v>
      </c>
      <c r="AT38">
        <v>-138244893</v>
      </c>
      <c r="AU38">
        <v>-61.5</v>
      </c>
      <c r="AV38">
        <v>0</v>
      </c>
      <c r="AW38">
        <v>57973353</v>
      </c>
      <c r="AX38">
        <v>-57973353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224881217</v>
      </c>
      <c r="BM38">
        <v>421099462</v>
      </c>
      <c r="BN38">
        <v>-196218245</v>
      </c>
      <c r="BO38">
        <v>-87.3</v>
      </c>
      <c r="BP38" t="s">
        <v>120</v>
      </c>
    </row>
    <row r="39" spans="1:68" x14ac:dyDescent="0.35">
      <c r="A39" t="s">
        <v>122</v>
      </c>
      <c r="B39">
        <v>831745340.61000001</v>
      </c>
      <c r="C39">
        <v>413086947.45999998</v>
      </c>
      <c r="D39">
        <v>80282143.790000007</v>
      </c>
      <c r="E39">
        <v>493369091.25</v>
      </c>
      <c r="F39">
        <v>338376249.36000001</v>
      </c>
      <c r="G39">
        <v>107640455.89</v>
      </c>
      <c r="H39">
        <v>107640455.89</v>
      </c>
      <c r="I39">
        <v>0</v>
      </c>
      <c r="J39">
        <v>107640455.89</v>
      </c>
      <c r="K39">
        <v>0</v>
      </c>
      <c r="L39">
        <v>724104884.72000003</v>
      </c>
      <c r="M39">
        <v>305446491.56999999</v>
      </c>
      <c r="N39">
        <v>63870509.789999999</v>
      </c>
      <c r="O39">
        <v>369317001.36000001</v>
      </c>
      <c r="P39">
        <v>354787883.36000001</v>
      </c>
      <c r="Q39">
        <v>0</v>
      </c>
      <c r="R39">
        <v>0</v>
      </c>
      <c r="S39">
        <v>16411634</v>
      </c>
      <c r="T39">
        <v>16411634</v>
      </c>
      <c r="U39">
        <v>-16411634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831745340.61000001</v>
      </c>
      <c r="AG39">
        <v>413086947.45999998</v>
      </c>
      <c r="AH39">
        <v>80282143.790000007</v>
      </c>
      <c r="AI39">
        <v>493369091.25</v>
      </c>
      <c r="AJ39">
        <v>338376249.36000001</v>
      </c>
      <c r="AK39" t="s">
        <v>123</v>
      </c>
      <c r="AL39" t="s">
        <v>124</v>
      </c>
      <c r="AM39" t="s">
        <v>1265</v>
      </c>
      <c r="AN39">
        <v>110366531</v>
      </c>
      <c r="AO39">
        <v>413086947</v>
      </c>
      <c r="AP39">
        <v>-302720417</v>
      </c>
      <c r="AQ39">
        <v>-274.3</v>
      </c>
      <c r="AR39">
        <v>110366531</v>
      </c>
      <c r="AS39">
        <v>107640456</v>
      </c>
      <c r="AT39">
        <v>2726075</v>
      </c>
      <c r="AU39">
        <v>2.5</v>
      </c>
      <c r="AV39">
        <v>0</v>
      </c>
      <c r="AW39">
        <v>305446492</v>
      </c>
      <c r="AX39">
        <v>-305446492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88043881</v>
      </c>
      <c r="BM39">
        <v>413086947</v>
      </c>
      <c r="BN39">
        <v>-325043067</v>
      </c>
      <c r="BO39">
        <v>-369.2</v>
      </c>
      <c r="BP39" t="s">
        <v>123</v>
      </c>
    </row>
    <row r="40" spans="1:68" x14ac:dyDescent="0.35">
      <c r="A40" t="s">
        <v>125</v>
      </c>
      <c r="B40">
        <v>736630688.21000004</v>
      </c>
      <c r="C40">
        <v>137476955.09</v>
      </c>
      <c r="D40">
        <v>300460751.81</v>
      </c>
      <c r="E40">
        <v>437937706.89999998</v>
      </c>
      <c r="F40">
        <v>298692981.31</v>
      </c>
      <c r="G40">
        <v>32201694.82</v>
      </c>
      <c r="H40">
        <v>32201694.82</v>
      </c>
      <c r="I40">
        <v>979754</v>
      </c>
      <c r="J40">
        <v>33181448.82</v>
      </c>
      <c r="K40">
        <v>-979754</v>
      </c>
      <c r="L40">
        <v>704428993.38999999</v>
      </c>
      <c r="M40">
        <v>105275260.27</v>
      </c>
      <c r="N40">
        <v>157917993.16999999</v>
      </c>
      <c r="O40">
        <v>263193253.44</v>
      </c>
      <c r="P40">
        <v>441235739.94999999</v>
      </c>
      <c r="Q40">
        <v>0</v>
      </c>
      <c r="R40">
        <v>0</v>
      </c>
      <c r="S40">
        <v>141563004.63999999</v>
      </c>
      <c r="T40">
        <v>141563004.63999999</v>
      </c>
      <c r="U40">
        <v>-141563004.63999999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736630688.21000004</v>
      </c>
      <c r="AG40">
        <v>137476955.09</v>
      </c>
      <c r="AH40">
        <v>300460751.81</v>
      </c>
      <c r="AI40">
        <v>437937706.89999998</v>
      </c>
      <c r="AJ40">
        <v>298692981.31</v>
      </c>
      <c r="AK40" t="s">
        <v>126</v>
      </c>
      <c r="AL40" t="s">
        <v>127</v>
      </c>
      <c r="AM40" t="s">
        <v>1266</v>
      </c>
      <c r="AN40">
        <v>0</v>
      </c>
      <c r="AO40">
        <v>137476955</v>
      </c>
      <c r="AP40">
        <v>-137476955</v>
      </c>
      <c r="AQ40">
        <v>0</v>
      </c>
      <c r="AR40">
        <v>0</v>
      </c>
      <c r="AS40">
        <v>32201695</v>
      </c>
      <c r="AT40">
        <v>-32201695</v>
      </c>
      <c r="AU40">
        <v>0</v>
      </c>
      <c r="AV40">
        <v>0</v>
      </c>
      <c r="AW40">
        <v>105275260</v>
      </c>
      <c r="AX40">
        <v>-105275260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137476955</v>
      </c>
      <c r="BN40">
        <v>-137476955</v>
      </c>
      <c r="BO40">
        <v>0</v>
      </c>
      <c r="BP40" t="s">
        <v>126</v>
      </c>
    </row>
    <row r="41" spans="1:68" x14ac:dyDescent="0.35">
      <c r="A41" t="s">
        <v>128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129</v>
      </c>
      <c r="AL41" t="s">
        <v>130</v>
      </c>
      <c r="AM41" t="s">
        <v>1267</v>
      </c>
      <c r="AN41">
        <v>5400000</v>
      </c>
      <c r="AO41">
        <v>0</v>
      </c>
      <c r="AP41">
        <v>5400000</v>
      </c>
      <c r="AQ41">
        <v>100</v>
      </c>
      <c r="AR41">
        <v>5400000</v>
      </c>
      <c r="AS41">
        <v>0</v>
      </c>
      <c r="AT41">
        <v>5400000</v>
      </c>
      <c r="AU41">
        <v>100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5400000</v>
      </c>
      <c r="BM41">
        <v>0</v>
      </c>
      <c r="BN41">
        <v>5400000</v>
      </c>
      <c r="BO41">
        <v>100</v>
      </c>
      <c r="BP41" t="s">
        <v>129</v>
      </c>
    </row>
    <row r="42" spans="1:68" x14ac:dyDescent="0.35">
      <c r="A42" t="s">
        <v>131</v>
      </c>
      <c r="B42">
        <v>8766352.1199999992</v>
      </c>
      <c r="C42">
        <v>8766352.1199999992</v>
      </c>
      <c r="D42">
        <v>0</v>
      </c>
      <c r="E42">
        <v>8766352.1199999992</v>
      </c>
      <c r="F42">
        <v>0</v>
      </c>
      <c r="G42">
        <v>8766352.1199999992</v>
      </c>
      <c r="H42">
        <v>8766352.1199999992</v>
      </c>
      <c r="I42">
        <v>0</v>
      </c>
      <c r="J42">
        <v>8766352.1199999992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8766352.1199999992</v>
      </c>
      <c r="AG42">
        <v>8766352.1199999992</v>
      </c>
      <c r="AH42">
        <v>0</v>
      </c>
      <c r="AI42">
        <v>8766352.1199999992</v>
      </c>
      <c r="AJ42">
        <v>0</v>
      </c>
      <c r="AK42" t="s">
        <v>132</v>
      </c>
      <c r="AL42" t="s">
        <v>133</v>
      </c>
      <c r="AM42" t="s">
        <v>1268</v>
      </c>
      <c r="AN42">
        <v>30000000</v>
      </c>
      <c r="AO42">
        <v>8766352</v>
      </c>
      <c r="AP42">
        <v>21233648</v>
      </c>
      <c r="AQ42">
        <v>70.8</v>
      </c>
      <c r="AR42">
        <v>30000000</v>
      </c>
      <c r="AS42">
        <v>8766352</v>
      </c>
      <c r="AT42">
        <v>21233648</v>
      </c>
      <c r="AU42">
        <v>70.8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30000000</v>
      </c>
      <c r="BM42">
        <v>8766352</v>
      </c>
      <c r="BN42">
        <v>21233648</v>
      </c>
      <c r="BO42">
        <v>70.8</v>
      </c>
      <c r="BP42" t="s">
        <v>132</v>
      </c>
    </row>
    <row r="43" spans="1:68" x14ac:dyDescent="0.35">
      <c r="A43" t="s">
        <v>134</v>
      </c>
      <c r="B43">
        <v>40000000</v>
      </c>
      <c r="C43">
        <v>0</v>
      </c>
      <c r="D43">
        <v>0</v>
      </c>
      <c r="E43">
        <v>0</v>
      </c>
      <c r="F43">
        <v>40000000</v>
      </c>
      <c r="G43">
        <v>0</v>
      </c>
      <c r="H43">
        <v>0</v>
      </c>
      <c r="I43">
        <v>0</v>
      </c>
      <c r="J43">
        <v>0</v>
      </c>
      <c r="K43">
        <v>0</v>
      </c>
      <c r="L43">
        <v>40000000</v>
      </c>
      <c r="M43">
        <v>0</v>
      </c>
      <c r="N43">
        <v>0</v>
      </c>
      <c r="O43">
        <v>0</v>
      </c>
      <c r="P43">
        <v>40000000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40000000</v>
      </c>
      <c r="AG43">
        <v>0</v>
      </c>
      <c r="AH43">
        <v>0</v>
      </c>
      <c r="AI43">
        <v>0</v>
      </c>
      <c r="AJ43">
        <v>40000000</v>
      </c>
      <c r="AK43" t="s">
        <v>135</v>
      </c>
      <c r="AL43" t="s">
        <v>136</v>
      </c>
    </row>
    <row r="44" spans="1:68" x14ac:dyDescent="0.35">
      <c r="A44" t="s">
        <v>137</v>
      </c>
      <c r="B44">
        <v>724331326.64999998</v>
      </c>
      <c r="C44">
        <v>283402336.24000001</v>
      </c>
      <c r="D44">
        <v>280773819.80000001</v>
      </c>
      <c r="E44">
        <v>564176156.03999996</v>
      </c>
      <c r="F44">
        <v>160155170.61000001</v>
      </c>
      <c r="G44">
        <v>153880293.44999999</v>
      </c>
      <c r="H44">
        <v>153880293.44999999</v>
      </c>
      <c r="I44">
        <v>0</v>
      </c>
      <c r="J44">
        <v>153880293.44999999</v>
      </c>
      <c r="K44">
        <v>0</v>
      </c>
      <c r="L44">
        <v>570451033.20000005</v>
      </c>
      <c r="M44">
        <v>129522042.79000001</v>
      </c>
      <c r="N44">
        <v>241325347.96000001</v>
      </c>
      <c r="O44">
        <v>370847390.75</v>
      </c>
      <c r="P44">
        <v>199603642.44999999</v>
      </c>
      <c r="Q44">
        <v>0</v>
      </c>
      <c r="R44">
        <v>0</v>
      </c>
      <c r="S44">
        <v>39448471.840000004</v>
      </c>
      <c r="T44">
        <v>39448471.840000004</v>
      </c>
      <c r="U44">
        <v>-39448471.840000004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724331326.64999998</v>
      </c>
      <c r="AG44">
        <v>283402336.24000001</v>
      </c>
      <c r="AH44">
        <v>280773819.80000001</v>
      </c>
      <c r="AI44">
        <v>564176156.03999996</v>
      </c>
      <c r="AJ44">
        <v>160155170.61000001</v>
      </c>
      <c r="AK44" t="s">
        <v>138</v>
      </c>
      <c r="AL44" t="s">
        <v>139</v>
      </c>
      <c r="AM44" t="s">
        <v>1269</v>
      </c>
      <c r="AN44">
        <v>0</v>
      </c>
      <c r="AO44">
        <v>283402336</v>
      </c>
      <c r="AP44">
        <v>-283402336</v>
      </c>
      <c r="AQ44">
        <v>0</v>
      </c>
      <c r="AR44">
        <v>0</v>
      </c>
      <c r="AS44">
        <v>153880293</v>
      </c>
      <c r="AT44">
        <v>-153880293</v>
      </c>
      <c r="AU44">
        <v>0</v>
      </c>
      <c r="AV44">
        <v>0</v>
      </c>
      <c r="AW44">
        <v>129522043</v>
      </c>
      <c r="AX44">
        <v>-129522043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283402336</v>
      </c>
      <c r="BN44">
        <v>-283402336</v>
      </c>
      <c r="BO44">
        <v>0</v>
      </c>
      <c r="BP44" t="s">
        <v>138</v>
      </c>
    </row>
    <row r="45" spans="1:68" x14ac:dyDescent="0.35">
      <c r="AL45" t="s">
        <v>1271</v>
      </c>
      <c r="AM45" t="s">
        <v>1270</v>
      </c>
      <c r="AN45">
        <v>2576321000</v>
      </c>
      <c r="AO45">
        <v>415436751</v>
      </c>
      <c r="AP45">
        <v>2160884249</v>
      </c>
      <c r="AQ45">
        <v>83.9</v>
      </c>
      <c r="AR45">
        <v>1975171000</v>
      </c>
      <c r="AS45">
        <v>22957871</v>
      </c>
      <c r="AT45">
        <v>1952213129</v>
      </c>
      <c r="AU45">
        <v>98.8</v>
      </c>
      <c r="AV45">
        <v>601150000</v>
      </c>
      <c r="AW45">
        <v>392478880</v>
      </c>
      <c r="AX45">
        <v>208671120</v>
      </c>
      <c r="AY45">
        <v>34.700000000000003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2491321000</v>
      </c>
      <c r="BM45">
        <v>415436751</v>
      </c>
      <c r="BN45">
        <v>2075884249</v>
      </c>
      <c r="BO45">
        <v>83.3</v>
      </c>
      <c r="BP45" t="s">
        <v>1272</v>
      </c>
    </row>
    <row r="46" spans="1:68" x14ac:dyDescent="0.35">
      <c r="A46" t="s">
        <v>140</v>
      </c>
      <c r="B46">
        <v>1068135592.4299999</v>
      </c>
      <c r="C46">
        <v>415436750.52999997</v>
      </c>
      <c r="D46">
        <v>486926187.50999999</v>
      </c>
      <c r="E46">
        <v>902362938.03999996</v>
      </c>
      <c r="F46">
        <v>165772654.38999999</v>
      </c>
      <c r="G46">
        <v>24415486.440000001</v>
      </c>
      <c r="H46">
        <v>22957870.829999998</v>
      </c>
      <c r="I46">
        <v>5091198.7</v>
      </c>
      <c r="J46">
        <v>28049069.530000001</v>
      </c>
      <c r="K46">
        <v>-3633583.09</v>
      </c>
      <c r="L46">
        <v>1043720105.99</v>
      </c>
      <c r="M46">
        <v>392478879.69999999</v>
      </c>
      <c r="N46">
        <v>419258412.55000001</v>
      </c>
      <c r="O46">
        <v>811737292.25</v>
      </c>
      <c r="P46">
        <v>231982813.74000001</v>
      </c>
      <c r="Q46">
        <v>0</v>
      </c>
      <c r="R46">
        <v>0</v>
      </c>
      <c r="S46">
        <v>62576576.259999998</v>
      </c>
      <c r="T46">
        <v>62576576.259999998</v>
      </c>
      <c r="U46">
        <v>-62576576.259999998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1068135592.4299999</v>
      </c>
      <c r="AG46">
        <v>415436750.52999997</v>
      </c>
      <c r="AH46">
        <v>486926187.50999999</v>
      </c>
      <c r="AI46">
        <v>902362938.03999996</v>
      </c>
      <c r="AJ46">
        <v>165772654.38999999</v>
      </c>
      <c r="AK46" t="s">
        <v>141</v>
      </c>
      <c r="AL46" t="s">
        <v>142</v>
      </c>
    </row>
    <row r="47" spans="1:68" x14ac:dyDescent="0.35">
      <c r="A47" t="s">
        <v>143</v>
      </c>
      <c r="B47">
        <v>324078232.16000003</v>
      </c>
      <c r="C47">
        <v>201961568.53</v>
      </c>
      <c r="D47">
        <v>14700306.17</v>
      </c>
      <c r="E47">
        <v>216661874.69999999</v>
      </c>
      <c r="F47">
        <v>107416357.45999999</v>
      </c>
      <c r="G47">
        <v>324078232.16000003</v>
      </c>
      <c r="H47">
        <v>194891208.09</v>
      </c>
      <c r="I47">
        <v>14700306.17</v>
      </c>
      <c r="J47">
        <v>209591514.25999999</v>
      </c>
      <c r="K47">
        <v>114486717.90000001</v>
      </c>
      <c r="L47">
        <v>0</v>
      </c>
      <c r="M47">
        <v>7070360.4400000004</v>
      </c>
      <c r="N47">
        <v>0</v>
      </c>
      <c r="O47">
        <v>7070360.4400000004</v>
      </c>
      <c r="P47">
        <v>-7070360.4400000004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370898588.67000002</v>
      </c>
      <c r="AG47">
        <v>201961568.53</v>
      </c>
      <c r="AH47">
        <v>14700306.17</v>
      </c>
      <c r="AI47">
        <v>216661874.69999999</v>
      </c>
      <c r="AJ47">
        <v>154236713.97</v>
      </c>
      <c r="AK47" t="s">
        <v>144</v>
      </c>
      <c r="AL47" t="s">
        <v>145</v>
      </c>
      <c r="AM47" t="s">
        <v>1273</v>
      </c>
      <c r="AN47">
        <v>468116057</v>
      </c>
      <c r="AO47">
        <v>201961569</v>
      </c>
      <c r="AP47">
        <v>266154488</v>
      </c>
      <c r="AQ47">
        <v>56.9</v>
      </c>
      <c r="AR47">
        <v>468116057</v>
      </c>
      <c r="AS47">
        <v>194891208</v>
      </c>
      <c r="AT47">
        <v>273224849</v>
      </c>
      <c r="AU47">
        <v>58.4</v>
      </c>
      <c r="AV47">
        <v>0</v>
      </c>
      <c r="AW47">
        <v>7070360</v>
      </c>
      <c r="AX47">
        <v>-7070360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469980138</v>
      </c>
      <c r="BM47">
        <v>201961569</v>
      </c>
      <c r="BN47">
        <v>268018569</v>
      </c>
      <c r="BO47">
        <v>57</v>
      </c>
      <c r="BP47" t="s">
        <v>144</v>
      </c>
    </row>
    <row r="48" spans="1:68" x14ac:dyDescent="0.35">
      <c r="A48" t="s">
        <v>146</v>
      </c>
      <c r="B48">
        <v>1767875.53</v>
      </c>
      <c r="C48">
        <v>1713150.02</v>
      </c>
      <c r="D48">
        <v>53421</v>
      </c>
      <c r="E48">
        <v>1766571.02</v>
      </c>
      <c r="F48">
        <v>1304.51</v>
      </c>
      <c r="G48">
        <v>1767875.53</v>
      </c>
      <c r="H48">
        <v>1713150.02</v>
      </c>
      <c r="I48">
        <v>53421</v>
      </c>
      <c r="J48">
        <v>1766571.02</v>
      </c>
      <c r="K48">
        <v>1304.51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1767875.53</v>
      </c>
      <c r="AG48">
        <v>1713150.02</v>
      </c>
      <c r="AH48">
        <v>53421</v>
      </c>
      <c r="AI48">
        <v>1766571.02</v>
      </c>
      <c r="AJ48">
        <v>1304.51</v>
      </c>
      <c r="AK48" t="s">
        <v>147</v>
      </c>
      <c r="AL48" t="s">
        <v>148</v>
      </c>
      <c r="AM48" t="s">
        <v>1274</v>
      </c>
      <c r="AN48">
        <v>21000000</v>
      </c>
      <c r="AO48">
        <v>1713150</v>
      </c>
      <c r="AP48">
        <v>19286850</v>
      </c>
      <c r="AQ48">
        <v>91.8</v>
      </c>
      <c r="AR48">
        <v>21000000</v>
      </c>
      <c r="AS48">
        <v>1713150</v>
      </c>
      <c r="AT48">
        <v>19286850</v>
      </c>
      <c r="AU48">
        <v>91.8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21000000</v>
      </c>
      <c r="BM48">
        <v>1713150</v>
      </c>
      <c r="BN48">
        <v>19286850</v>
      </c>
      <c r="BO48">
        <v>91.8</v>
      </c>
      <c r="BP48" t="s">
        <v>147</v>
      </c>
    </row>
    <row r="49" spans="1:68" x14ac:dyDescent="0.35">
      <c r="A49" t="s">
        <v>149</v>
      </c>
      <c r="B49">
        <v>19625820.370000001</v>
      </c>
      <c r="C49">
        <v>1911304.97</v>
      </c>
      <c r="D49">
        <v>4877892</v>
      </c>
      <c r="E49">
        <v>6789196.9699999997</v>
      </c>
      <c r="F49">
        <v>12836623.4</v>
      </c>
      <c r="G49">
        <v>1911304.95</v>
      </c>
      <c r="H49">
        <v>1911304.97</v>
      </c>
      <c r="I49">
        <v>0</v>
      </c>
      <c r="J49">
        <v>1911304.97</v>
      </c>
      <c r="K49">
        <v>-0.02</v>
      </c>
      <c r="L49">
        <v>17714515.420000002</v>
      </c>
      <c r="M49">
        <v>0</v>
      </c>
      <c r="N49">
        <v>4877892</v>
      </c>
      <c r="O49">
        <v>4877892</v>
      </c>
      <c r="P49">
        <v>12836623.42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19625820.370000001</v>
      </c>
      <c r="AG49">
        <v>1911304.97</v>
      </c>
      <c r="AH49">
        <v>4877892</v>
      </c>
      <c r="AI49">
        <v>6789196.9699999997</v>
      </c>
      <c r="AJ49">
        <v>12836623.4</v>
      </c>
      <c r="AK49" t="s">
        <v>150</v>
      </c>
      <c r="AL49" t="s">
        <v>151</v>
      </c>
      <c r="AM49" t="s">
        <v>1275</v>
      </c>
      <c r="AN49">
        <v>19113000</v>
      </c>
      <c r="AO49">
        <v>1911305</v>
      </c>
      <c r="AP49">
        <v>17201695</v>
      </c>
      <c r="AQ49">
        <v>90</v>
      </c>
      <c r="AR49">
        <v>5713000</v>
      </c>
      <c r="AS49">
        <v>1911305</v>
      </c>
      <c r="AT49">
        <v>3801695</v>
      </c>
      <c r="AU49">
        <v>66.5</v>
      </c>
      <c r="AV49">
        <v>13400000</v>
      </c>
      <c r="AW49">
        <v>0</v>
      </c>
      <c r="AX49">
        <v>13400000</v>
      </c>
      <c r="AY49">
        <v>100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19113000</v>
      </c>
      <c r="BM49">
        <v>1911305</v>
      </c>
      <c r="BN49">
        <v>17201695</v>
      </c>
      <c r="BO49">
        <v>90</v>
      </c>
      <c r="BP49" t="s">
        <v>150</v>
      </c>
    </row>
    <row r="50" spans="1:68" x14ac:dyDescent="0.35">
      <c r="A50" t="s">
        <v>152</v>
      </c>
      <c r="B50">
        <v>174000000</v>
      </c>
      <c r="C50">
        <v>81631037.430000007</v>
      </c>
      <c r="D50">
        <v>71403571.689999998</v>
      </c>
      <c r="E50">
        <v>153034609.12</v>
      </c>
      <c r="F50">
        <v>20965390.879999999</v>
      </c>
      <c r="G50">
        <v>42718324.310000002</v>
      </c>
      <c r="H50">
        <v>43503690.719999999</v>
      </c>
      <c r="I50">
        <v>0</v>
      </c>
      <c r="J50">
        <v>43503690.719999999</v>
      </c>
      <c r="K50">
        <v>-785366.41</v>
      </c>
      <c r="L50">
        <v>131281675.69</v>
      </c>
      <c r="M50">
        <v>38127346.710000001</v>
      </c>
      <c r="N50">
        <v>71403571.689999998</v>
      </c>
      <c r="O50">
        <v>109530918.40000001</v>
      </c>
      <c r="P50">
        <v>21750757.289999999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174000000</v>
      </c>
      <c r="AG50">
        <v>81631037.430000007</v>
      </c>
      <c r="AH50">
        <v>71403571.689999998</v>
      </c>
      <c r="AI50">
        <v>153034609.12</v>
      </c>
      <c r="AJ50">
        <v>20965390.879999999</v>
      </c>
      <c r="AK50" t="s">
        <v>153</v>
      </c>
      <c r="AL50" t="s">
        <v>154</v>
      </c>
      <c r="AM50" t="s">
        <v>1276</v>
      </c>
      <c r="AN50">
        <v>758067125</v>
      </c>
      <c r="AO50">
        <v>81631037</v>
      </c>
      <c r="AP50">
        <v>676436088</v>
      </c>
      <c r="AQ50">
        <v>89.2</v>
      </c>
      <c r="AR50">
        <v>497067125</v>
      </c>
      <c r="AS50">
        <v>43503691</v>
      </c>
      <c r="AT50">
        <v>453563434</v>
      </c>
      <c r="AU50">
        <v>91.2</v>
      </c>
      <c r="AV50">
        <v>261000000</v>
      </c>
      <c r="AW50">
        <v>38127347</v>
      </c>
      <c r="AX50">
        <v>222872653</v>
      </c>
      <c r="AY50">
        <v>85.4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758068010</v>
      </c>
      <c r="BM50">
        <v>81631037</v>
      </c>
      <c r="BN50">
        <v>676436973</v>
      </c>
      <c r="BO50">
        <v>89.2</v>
      </c>
      <c r="BP50" t="s">
        <v>153</v>
      </c>
    </row>
    <row r="51" spans="1:68" x14ac:dyDescent="0.35">
      <c r="A51" t="s">
        <v>155</v>
      </c>
      <c r="B51">
        <v>9694171.6600000001</v>
      </c>
      <c r="C51">
        <v>8014162.7199999997</v>
      </c>
      <c r="D51">
        <v>494418</v>
      </c>
      <c r="E51">
        <v>8508580.7200000007</v>
      </c>
      <c r="F51">
        <v>1185590.94</v>
      </c>
      <c r="G51">
        <v>919299.96</v>
      </c>
      <c r="H51">
        <v>919299.96</v>
      </c>
      <c r="I51">
        <v>0</v>
      </c>
      <c r="J51">
        <v>919299.96</v>
      </c>
      <c r="K51">
        <v>0</v>
      </c>
      <c r="L51">
        <v>8774871.6999999993</v>
      </c>
      <c r="M51">
        <v>7094862.7599999998</v>
      </c>
      <c r="N51">
        <v>494418</v>
      </c>
      <c r="O51">
        <v>7589280.7599999998</v>
      </c>
      <c r="P51">
        <v>1185590.94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9694171.6600000001</v>
      </c>
      <c r="AG51">
        <v>8014162.7199999997</v>
      </c>
      <c r="AH51">
        <v>494418</v>
      </c>
      <c r="AI51">
        <v>8508580.7200000007</v>
      </c>
      <c r="AJ51">
        <v>1185590.94</v>
      </c>
      <c r="AK51" t="s">
        <v>156</v>
      </c>
      <c r="AL51" t="s">
        <v>157</v>
      </c>
      <c r="AM51" t="s">
        <v>1277</v>
      </c>
      <c r="AN51">
        <v>8645100</v>
      </c>
      <c r="AO51">
        <v>8014163</v>
      </c>
      <c r="AP51">
        <v>630937</v>
      </c>
      <c r="AQ51">
        <v>7.3</v>
      </c>
      <c r="AR51">
        <v>2285000</v>
      </c>
      <c r="AS51">
        <v>919300</v>
      </c>
      <c r="AT51">
        <v>1365700</v>
      </c>
      <c r="AU51">
        <v>59.8</v>
      </c>
      <c r="AV51">
        <v>6360100</v>
      </c>
      <c r="AW51">
        <v>7094863</v>
      </c>
      <c r="AX51">
        <v>-734763</v>
      </c>
      <c r="AY51">
        <v>-11.6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8645100</v>
      </c>
      <c r="BM51">
        <v>8014163</v>
      </c>
      <c r="BN51">
        <v>630937</v>
      </c>
      <c r="BO51">
        <v>7.3</v>
      </c>
      <c r="BP51" t="s">
        <v>156</v>
      </c>
    </row>
    <row r="52" spans="1:68" x14ac:dyDescent="0.35">
      <c r="A52" t="s">
        <v>158</v>
      </c>
      <c r="B52">
        <v>46221858.049999997</v>
      </c>
      <c r="C52">
        <v>7647671.2599999998</v>
      </c>
      <c r="D52">
        <v>3639627.06</v>
      </c>
      <c r="E52">
        <v>11287298.32</v>
      </c>
      <c r="F52">
        <v>34934559.729999997</v>
      </c>
      <c r="G52">
        <v>6050035.1100000003</v>
      </c>
      <c r="H52">
        <v>6050035.1100000003</v>
      </c>
      <c r="I52">
        <v>0</v>
      </c>
      <c r="J52">
        <v>6050035.1100000003</v>
      </c>
      <c r="K52">
        <v>0</v>
      </c>
      <c r="L52">
        <v>40171822.939999998</v>
      </c>
      <c r="M52">
        <v>1597636.15</v>
      </c>
      <c r="N52">
        <v>3639627.06</v>
      </c>
      <c r="O52">
        <v>5237263.21</v>
      </c>
      <c r="P52">
        <v>34934559.729999997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46221858.049999997</v>
      </c>
      <c r="AG52">
        <v>7647671.2599999998</v>
      </c>
      <c r="AH52">
        <v>3639627.06</v>
      </c>
      <c r="AI52">
        <v>11287298.32</v>
      </c>
      <c r="AJ52">
        <v>34934559.729999997</v>
      </c>
      <c r="AK52" t="s">
        <v>159</v>
      </c>
      <c r="AL52" t="s">
        <v>160</v>
      </c>
      <c r="AM52" t="s">
        <v>1278</v>
      </c>
      <c r="AN52">
        <v>66800000</v>
      </c>
      <c r="AO52">
        <v>7647671</v>
      </c>
      <c r="AP52">
        <v>59152329</v>
      </c>
      <c r="AQ52">
        <v>88.6</v>
      </c>
      <c r="AR52">
        <v>66800000</v>
      </c>
      <c r="AS52">
        <v>6050035</v>
      </c>
      <c r="AT52">
        <v>60749965</v>
      </c>
      <c r="AU52">
        <v>90.9</v>
      </c>
      <c r="AV52">
        <v>0</v>
      </c>
      <c r="AW52">
        <v>1597636</v>
      </c>
      <c r="AX52">
        <v>-1597636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66800000</v>
      </c>
      <c r="BM52">
        <v>7647671</v>
      </c>
      <c r="BN52">
        <v>59152329</v>
      </c>
      <c r="BO52">
        <v>88.6</v>
      </c>
      <c r="BP52" t="s">
        <v>159</v>
      </c>
    </row>
    <row r="53" spans="1:68" x14ac:dyDescent="0.35">
      <c r="A53" t="s">
        <v>161</v>
      </c>
      <c r="B53">
        <v>46883809</v>
      </c>
      <c r="C53">
        <v>408509.99</v>
      </c>
      <c r="D53">
        <v>27590244.879999999</v>
      </c>
      <c r="E53">
        <v>27998754.870000001</v>
      </c>
      <c r="F53">
        <v>18885054.129999999</v>
      </c>
      <c r="G53">
        <v>0</v>
      </c>
      <c r="H53">
        <v>-0.01</v>
      </c>
      <c r="I53">
        <v>0</v>
      </c>
      <c r="J53">
        <v>-0.01</v>
      </c>
      <c r="K53">
        <v>0.01</v>
      </c>
      <c r="L53">
        <v>46883809</v>
      </c>
      <c r="M53">
        <v>408510</v>
      </c>
      <c r="N53">
        <v>27590244.879999999</v>
      </c>
      <c r="O53">
        <v>27998754.879999999</v>
      </c>
      <c r="P53">
        <v>18885054.120000001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46883809</v>
      </c>
      <c r="AG53">
        <v>408509.99</v>
      </c>
      <c r="AH53">
        <v>27590244.879999999</v>
      </c>
      <c r="AI53">
        <v>27998754.870000001</v>
      </c>
      <c r="AJ53">
        <v>18885054.129999999</v>
      </c>
      <c r="AK53" t="s">
        <v>162</v>
      </c>
      <c r="AL53" t="s">
        <v>163</v>
      </c>
      <c r="AM53" t="s">
        <v>1279</v>
      </c>
      <c r="AN53">
        <v>20400000</v>
      </c>
      <c r="AO53">
        <v>408510</v>
      </c>
      <c r="AP53">
        <v>19991490</v>
      </c>
      <c r="AQ53">
        <v>98</v>
      </c>
      <c r="AR53">
        <v>1500000</v>
      </c>
      <c r="AS53">
        <v>0</v>
      </c>
      <c r="AT53">
        <v>1500000</v>
      </c>
      <c r="AU53">
        <v>100</v>
      </c>
      <c r="AV53">
        <v>18900000</v>
      </c>
      <c r="AW53">
        <v>408510</v>
      </c>
      <c r="AX53">
        <v>18491490</v>
      </c>
      <c r="AY53">
        <v>97.8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20450000</v>
      </c>
      <c r="BM53">
        <v>408510</v>
      </c>
      <c r="BN53">
        <v>20041490</v>
      </c>
      <c r="BO53">
        <v>98</v>
      </c>
      <c r="BP53" t="s">
        <v>162</v>
      </c>
    </row>
    <row r="54" spans="1:68" x14ac:dyDescent="0.35">
      <c r="A54" t="s">
        <v>164</v>
      </c>
      <c r="B54">
        <v>18997189.940000001</v>
      </c>
      <c r="C54">
        <v>98100.04</v>
      </c>
      <c r="D54">
        <v>5740190.2000000002</v>
      </c>
      <c r="E54">
        <v>5838290.2400000002</v>
      </c>
      <c r="F54">
        <v>13158899.699999999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18997189.940000001</v>
      </c>
      <c r="M54">
        <v>98100.04</v>
      </c>
      <c r="N54">
        <v>5740190.2000000002</v>
      </c>
      <c r="O54">
        <v>5838290.2400000002</v>
      </c>
      <c r="P54">
        <v>13158899.699999999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18997189.940000001</v>
      </c>
      <c r="AG54">
        <v>98100.04</v>
      </c>
      <c r="AH54">
        <v>5740190.2000000002</v>
      </c>
      <c r="AI54">
        <v>5838290.2400000002</v>
      </c>
      <c r="AJ54">
        <v>13158899.699999999</v>
      </c>
      <c r="AK54" t="s">
        <v>165</v>
      </c>
      <c r="AL54" t="s">
        <v>166</v>
      </c>
      <c r="AM54" t="s">
        <v>1280</v>
      </c>
      <c r="AN54">
        <v>14500000</v>
      </c>
      <c r="AO54">
        <v>98100</v>
      </c>
      <c r="AP54">
        <v>14401900</v>
      </c>
      <c r="AQ54">
        <v>99.3</v>
      </c>
      <c r="AR54">
        <v>0</v>
      </c>
      <c r="AS54">
        <v>0</v>
      </c>
      <c r="AT54">
        <v>0</v>
      </c>
      <c r="AU54">
        <v>0</v>
      </c>
      <c r="AV54">
        <v>14500000</v>
      </c>
      <c r="AW54">
        <v>98100</v>
      </c>
      <c r="AX54">
        <v>14401900</v>
      </c>
      <c r="AY54">
        <v>99.3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14500000</v>
      </c>
      <c r="BM54">
        <v>98100</v>
      </c>
      <c r="BN54">
        <v>14401900</v>
      </c>
      <c r="BO54">
        <v>99.3</v>
      </c>
      <c r="BP54" t="s">
        <v>165</v>
      </c>
    </row>
    <row r="55" spans="1:68" x14ac:dyDescent="0.35">
      <c r="A55" t="s">
        <v>167</v>
      </c>
      <c r="B55">
        <v>76083064.480000004</v>
      </c>
      <c r="C55">
        <v>45461741.649999999</v>
      </c>
      <c r="D55">
        <v>3944694.08</v>
      </c>
      <c r="E55">
        <v>49406435.729999997</v>
      </c>
      <c r="F55">
        <v>26676628.75</v>
      </c>
      <c r="G55">
        <v>37135315.18</v>
      </c>
      <c r="H55">
        <v>37135315.18</v>
      </c>
      <c r="I55">
        <v>1430620.86</v>
      </c>
      <c r="J55">
        <v>38565936.039999999</v>
      </c>
      <c r="K55">
        <v>-1430620.86</v>
      </c>
      <c r="L55">
        <v>38947749.299999997</v>
      </c>
      <c r="M55">
        <v>8326426.4699999997</v>
      </c>
      <c r="N55">
        <v>2514073.2200000002</v>
      </c>
      <c r="O55">
        <v>10840499.689999999</v>
      </c>
      <c r="P55">
        <v>28107249.609999999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76083064.480000004</v>
      </c>
      <c r="AG55">
        <v>45461741.649999999</v>
      </c>
      <c r="AH55">
        <v>3944694.08</v>
      </c>
      <c r="AI55">
        <v>49406435.729999997</v>
      </c>
      <c r="AJ55">
        <v>26676628.75</v>
      </c>
      <c r="AK55" t="s">
        <v>168</v>
      </c>
      <c r="AL55" t="s">
        <v>169</v>
      </c>
      <c r="AM55" t="s">
        <v>1281</v>
      </c>
      <c r="AN55">
        <v>62955000</v>
      </c>
      <c r="AO55">
        <v>45461742</v>
      </c>
      <c r="AP55">
        <v>17493258</v>
      </c>
      <c r="AQ55">
        <v>27.8</v>
      </c>
      <c r="AR55">
        <v>62955000</v>
      </c>
      <c r="AS55">
        <v>37135315</v>
      </c>
      <c r="AT55">
        <v>25819685</v>
      </c>
      <c r="AU55">
        <v>41</v>
      </c>
      <c r="AV55">
        <v>0</v>
      </c>
      <c r="AW55">
        <v>8326426</v>
      </c>
      <c r="AX55">
        <v>-8326426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62955000</v>
      </c>
      <c r="BM55">
        <v>45461742</v>
      </c>
      <c r="BN55">
        <v>17493258</v>
      </c>
      <c r="BO55">
        <v>27.8</v>
      </c>
      <c r="BP55" t="s">
        <v>168</v>
      </c>
    </row>
    <row r="56" spans="1:68" x14ac:dyDescent="0.35">
      <c r="A56" t="s">
        <v>170</v>
      </c>
      <c r="B56">
        <v>3750000</v>
      </c>
      <c r="C56">
        <v>1662032.15</v>
      </c>
      <c r="D56">
        <v>0</v>
      </c>
      <c r="E56">
        <v>1662032.15</v>
      </c>
      <c r="F56">
        <v>2087967.85</v>
      </c>
      <c r="G56">
        <v>1339622.1499999999</v>
      </c>
      <c r="H56">
        <v>1339622.1499999999</v>
      </c>
      <c r="I56">
        <v>0</v>
      </c>
      <c r="J56">
        <v>1339622.1499999999</v>
      </c>
      <c r="K56">
        <v>0</v>
      </c>
      <c r="L56">
        <v>2410377.85</v>
      </c>
      <c r="M56">
        <v>322410</v>
      </c>
      <c r="N56">
        <v>0</v>
      </c>
      <c r="O56">
        <v>322410</v>
      </c>
      <c r="P56">
        <v>2087967.85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3750000</v>
      </c>
      <c r="AG56">
        <v>1662032.15</v>
      </c>
      <c r="AH56">
        <v>0</v>
      </c>
      <c r="AI56">
        <v>1662032.15</v>
      </c>
      <c r="AJ56">
        <v>2087967.85</v>
      </c>
      <c r="AK56" t="s">
        <v>171</v>
      </c>
      <c r="AL56" t="s">
        <v>172</v>
      </c>
      <c r="AM56" t="s">
        <v>1282</v>
      </c>
      <c r="AN56">
        <v>1353800</v>
      </c>
      <c r="AO56">
        <v>1662032</v>
      </c>
      <c r="AP56">
        <v>-308232</v>
      </c>
      <c r="AQ56">
        <v>-22.8</v>
      </c>
      <c r="AR56">
        <v>1353800</v>
      </c>
      <c r="AS56">
        <v>1339622</v>
      </c>
      <c r="AT56">
        <v>14178</v>
      </c>
      <c r="AU56">
        <v>1</v>
      </c>
      <c r="AV56">
        <v>0</v>
      </c>
      <c r="AW56">
        <v>322410</v>
      </c>
      <c r="AX56">
        <v>-322410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1353800</v>
      </c>
      <c r="BM56">
        <v>1662032</v>
      </c>
      <c r="BN56">
        <v>-308232</v>
      </c>
      <c r="BO56">
        <v>-22.8</v>
      </c>
      <c r="BP56" t="s">
        <v>171</v>
      </c>
    </row>
    <row r="57" spans="1:68" x14ac:dyDescent="0.35">
      <c r="A57" t="s">
        <v>173</v>
      </c>
      <c r="B57">
        <v>700000</v>
      </c>
      <c r="C57">
        <v>430764.01</v>
      </c>
      <c r="D57">
        <v>0</v>
      </c>
      <c r="E57">
        <v>430764.01</v>
      </c>
      <c r="F57">
        <v>269235.99</v>
      </c>
      <c r="G57">
        <v>0</v>
      </c>
      <c r="H57">
        <v>0</v>
      </c>
      <c r="I57">
        <v>0</v>
      </c>
      <c r="J57">
        <v>0</v>
      </c>
      <c r="K57">
        <v>0</v>
      </c>
      <c r="L57">
        <v>700000</v>
      </c>
      <c r="M57">
        <v>430764.01</v>
      </c>
      <c r="N57">
        <v>0</v>
      </c>
      <c r="O57">
        <v>430764.01</v>
      </c>
      <c r="P57">
        <v>269235.99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700000</v>
      </c>
      <c r="AG57">
        <v>430764.01</v>
      </c>
      <c r="AH57">
        <v>0</v>
      </c>
      <c r="AI57">
        <v>430764.01</v>
      </c>
      <c r="AJ57">
        <v>269235.99</v>
      </c>
      <c r="AK57" t="s">
        <v>174</v>
      </c>
      <c r="AL57" t="s">
        <v>175</v>
      </c>
      <c r="AM57" t="s">
        <v>1283</v>
      </c>
      <c r="AN57">
        <v>700000</v>
      </c>
      <c r="AO57">
        <v>430764</v>
      </c>
      <c r="AP57">
        <v>269236</v>
      </c>
      <c r="AQ57">
        <v>38.5</v>
      </c>
      <c r="AR57">
        <v>0</v>
      </c>
      <c r="AS57">
        <v>0</v>
      </c>
      <c r="AT57">
        <v>0</v>
      </c>
      <c r="AU57">
        <v>0</v>
      </c>
      <c r="AV57">
        <v>700000</v>
      </c>
      <c r="AW57">
        <v>430764</v>
      </c>
      <c r="AX57">
        <v>269236</v>
      </c>
      <c r="AY57">
        <v>38.5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700000</v>
      </c>
      <c r="BM57">
        <v>430764</v>
      </c>
      <c r="BN57">
        <v>269236</v>
      </c>
      <c r="BO57">
        <v>38.5</v>
      </c>
      <c r="BP57" t="s">
        <v>174</v>
      </c>
    </row>
    <row r="58" spans="1:68" x14ac:dyDescent="0.35">
      <c r="A58" t="s">
        <v>176</v>
      </c>
      <c r="B58">
        <v>56335967.619999997</v>
      </c>
      <c r="C58">
        <v>41108534.670000002</v>
      </c>
      <c r="D58">
        <v>17346058.809999999</v>
      </c>
      <c r="E58">
        <v>58454593.479999997</v>
      </c>
      <c r="F58">
        <v>-2118625.86</v>
      </c>
      <c r="G58">
        <v>29687988.539999999</v>
      </c>
      <c r="H58">
        <v>36593615.060000002</v>
      </c>
      <c r="I58">
        <v>0</v>
      </c>
      <c r="J58">
        <v>36593615.060000002</v>
      </c>
      <c r="K58">
        <v>-6905626.5199999996</v>
      </c>
      <c r="L58">
        <v>26647979.079999998</v>
      </c>
      <c r="M58">
        <v>4514919.6100000003</v>
      </c>
      <c r="N58">
        <v>17346058.809999999</v>
      </c>
      <c r="O58">
        <v>21860978.420000002</v>
      </c>
      <c r="P58">
        <v>4787000.66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56441592.759999998</v>
      </c>
      <c r="AG58">
        <v>41108534.670000002</v>
      </c>
      <c r="AH58">
        <v>17346058.809999999</v>
      </c>
      <c r="AI58">
        <v>58454593.479999997</v>
      </c>
      <c r="AJ58">
        <v>-2013000.72</v>
      </c>
      <c r="AK58" t="s">
        <v>177</v>
      </c>
      <c r="AL58" t="s">
        <v>178</v>
      </c>
      <c r="AM58" t="s">
        <v>1284</v>
      </c>
      <c r="AN58">
        <v>80000000</v>
      </c>
      <c r="AO58">
        <v>41108535</v>
      </c>
      <c r="AP58">
        <v>38891465</v>
      </c>
      <c r="AQ58">
        <v>48.6</v>
      </c>
      <c r="AR58">
        <v>80000000</v>
      </c>
      <c r="AS58">
        <v>36593615</v>
      </c>
      <c r="AT58">
        <v>43406385</v>
      </c>
      <c r="AU58">
        <v>54.3</v>
      </c>
      <c r="AV58">
        <v>0</v>
      </c>
      <c r="AW58">
        <v>4514920</v>
      </c>
      <c r="AX58">
        <v>-4514920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80000000</v>
      </c>
      <c r="BM58">
        <v>41108535</v>
      </c>
      <c r="BN58">
        <v>38891465</v>
      </c>
      <c r="BO58">
        <v>48.6</v>
      </c>
      <c r="BP58" t="s">
        <v>177</v>
      </c>
    </row>
    <row r="59" spans="1:68" x14ac:dyDescent="0.35">
      <c r="A59" t="s">
        <v>179</v>
      </c>
      <c r="B59">
        <v>48100000</v>
      </c>
      <c r="C59">
        <v>0</v>
      </c>
      <c r="D59">
        <v>2181356</v>
      </c>
      <c r="E59">
        <v>2181356</v>
      </c>
      <c r="F59">
        <v>45918644</v>
      </c>
      <c r="G59">
        <v>0</v>
      </c>
      <c r="H59">
        <v>0</v>
      </c>
      <c r="I59">
        <v>0</v>
      </c>
      <c r="J59">
        <v>0</v>
      </c>
      <c r="K59">
        <v>0</v>
      </c>
      <c r="L59">
        <v>48100000</v>
      </c>
      <c r="M59">
        <v>0</v>
      </c>
      <c r="N59">
        <v>2181356</v>
      </c>
      <c r="O59">
        <v>2181356</v>
      </c>
      <c r="P59">
        <v>45918644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48100000</v>
      </c>
      <c r="AG59">
        <v>0</v>
      </c>
      <c r="AH59">
        <v>2181356</v>
      </c>
      <c r="AI59">
        <v>2181356</v>
      </c>
      <c r="AJ59">
        <v>45918644</v>
      </c>
      <c r="AK59" t="s">
        <v>180</v>
      </c>
      <c r="AL59" t="s">
        <v>181</v>
      </c>
    </row>
    <row r="60" spans="1:68" x14ac:dyDescent="0.35">
      <c r="A60" t="s">
        <v>182</v>
      </c>
      <c r="B60">
        <v>300000</v>
      </c>
      <c r="C60">
        <v>14848.95</v>
      </c>
      <c r="D60">
        <v>0</v>
      </c>
      <c r="E60">
        <v>14848.95</v>
      </c>
      <c r="F60">
        <v>285151.05</v>
      </c>
      <c r="G60">
        <v>0</v>
      </c>
      <c r="H60">
        <v>0</v>
      </c>
      <c r="I60">
        <v>0</v>
      </c>
      <c r="J60">
        <v>0</v>
      </c>
      <c r="K60">
        <v>0</v>
      </c>
      <c r="L60">
        <v>300000</v>
      </c>
      <c r="M60">
        <v>14848.95</v>
      </c>
      <c r="N60">
        <v>0</v>
      </c>
      <c r="O60">
        <v>14848.95</v>
      </c>
      <c r="P60">
        <v>285151.05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300000</v>
      </c>
      <c r="AG60">
        <v>14848.95</v>
      </c>
      <c r="AH60">
        <v>0</v>
      </c>
      <c r="AI60">
        <v>14848.95</v>
      </c>
      <c r="AJ60">
        <v>285151.05</v>
      </c>
      <c r="AK60" t="s">
        <v>183</v>
      </c>
      <c r="AL60" t="s">
        <v>184</v>
      </c>
      <c r="AM60" t="s">
        <v>1285</v>
      </c>
      <c r="AN60">
        <v>20500000</v>
      </c>
      <c r="AO60">
        <v>14849</v>
      </c>
      <c r="AP60">
        <v>20485151</v>
      </c>
      <c r="AQ60">
        <v>99.9</v>
      </c>
      <c r="AR60">
        <v>20500000</v>
      </c>
      <c r="AS60">
        <v>0</v>
      </c>
      <c r="AT60">
        <v>20500000</v>
      </c>
      <c r="AU60">
        <v>100</v>
      </c>
      <c r="AV60">
        <v>0</v>
      </c>
      <c r="AW60">
        <v>14849</v>
      </c>
      <c r="AX60">
        <v>-14849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20500000</v>
      </c>
      <c r="BM60">
        <v>14849</v>
      </c>
      <c r="BN60">
        <v>20485151</v>
      </c>
      <c r="BO60">
        <v>99.9</v>
      </c>
      <c r="BP60" t="s">
        <v>183</v>
      </c>
    </row>
    <row r="61" spans="1:68" x14ac:dyDescent="0.35">
      <c r="A61" t="s">
        <v>185</v>
      </c>
      <c r="B61">
        <v>775059243.00999999</v>
      </c>
      <c r="C61">
        <v>650926712.37</v>
      </c>
      <c r="D61">
        <v>116784255.72</v>
      </c>
      <c r="E61">
        <v>767710968.09000003</v>
      </c>
      <c r="F61">
        <v>7348274.9199999999</v>
      </c>
      <c r="G61">
        <v>613907033.61000001</v>
      </c>
      <c r="H61">
        <v>613907033.61000001</v>
      </c>
      <c r="I61">
        <v>676826.98</v>
      </c>
      <c r="J61">
        <v>614583860.59000003</v>
      </c>
      <c r="K61">
        <v>-676826.98</v>
      </c>
      <c r="L61">
        <v>161152209.40000001</v>
      </c>
      <c r="M61">
        <v>37019678.759999998</v>
      </c>
      <c r="N61">
        <v>116107428.73999999</v>
      </c>
      <c r="O61">
        <v>153127107.5</v>
      </c>
      <c r="P61">
        <v>8025101.9000000004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775059243.00999999</v>
      </c>
      <c r="AG61">
        <v>650926712.37</v>
      </c>
      <c r="AH61">
        <v>116784255.72</v>
      </c>
      <c r="AI61">
        <v>767710968.09000003</v>
      </c>
      <c r="AJ61">
        <v>7348274.9199999999</v>
      </c>
      <c r="AK61" t="s">
        <v>186</v>
      </c>
      <c r="AL61" t="s">
        <v>187</v>
      </c>
      <c r="AM61" t="s">
        <v>1286</v>
      </c>
      <c r="AN61">
        <v>873800000</v>
      </c>
      <c r="AO61">
        <v>650926712</v>
      </c>
      <c r="AP61">
        <v>222873288</v>
      </c>
      <c r="AQ61">
        <v>25.5</v>
      </c>
      <c r="AR61">
        <v>848800000</v>
      </c>
      <c r="AS61">
        <v>613907034</v>
      </c>
      <c r="AT61">
        <v>234892966</v>
      </c>
      <c r="AU61">
        <v>27.7</v>
      </c>
      <c r="AV61">
        <v>25000000</v>
      </c>
      <c r="AW61">
        <v>37019679</v>
      </c>
      <c r="AX61">
        <v>-12019679</v>
      </c>
      <c r="AY61">
        <v>-48.1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432800000</v>
      </c>
      <c r="BM61">
        <v>650926712</v>
      </c>
      <c r="BN61">
        <v>-218126712</v>
      </c>
      <c r="BO61">
        <v>-50.4</v>
      </c>
      <c r="BP61" t="s">
        <v>186</v>
      </c>
    </row>
    <row r="62" spans="1:68" x14ac:dyDescent="0.35">
      <c r="A62" t="s">
        <v>188</v>
      </c>
      <c r="B62">
        <v>57884278.229999997</v>
      </c>
      <c r="C62">
        <v>23836007.210000001</v>
      </c>
      <c r="D62">
        <v>15801981.199999999</v>
      </c>
      <c r="E62">
        <v>39637988.409999996</v>
      </c>
      <c r="F62">
        <v>18246289.82</v>
      </c>
      <c r="G62">
        <v>3791377.95</v>
      </c>
      <c r="H62">
        <v>4552580.0199999996</v>
      </c>
      <c r="I62">
        <v>0</v>
      </c>
      <c r="J62">
        <v>4552580.0199999996</v>
      </c>
      <c r="K62">
        <v>-761202.07</v>
      </c>
      <c r="L62">
        <v>54092900.280000001</v>
      </c>
      <c r="M62">
        <v>19283427.190000001</v>
      </c>
      <c r="N62">
        <v>15801981.199999999</v>
      </c>
      <c r="O62">
        <v>35085408.390000001</v>
      </c>
      <c r="P62">
        <v>19007491.890000001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57884278.229999997</v>
      </c>
      <c r="AG62">
        <v>23836007.210000001</v>
      </c>
      <c r="AH62">
        <v>15801981.199999999</v>
      </c>
      <c r="AI62">
        <v>39637988.409999996</v>
      </c>
      <c r="AJ62">
        <v>18246289.82</v>
      </c>
      <c r="AK62" t="s">
        <v>189</v>
      </c>
      <c r="AL62" t="s">
        <v>190</v>
      </c>
      <c r="AM62" t="s">
        <v>1287</v>
      </c>
      <c r="AN62">
        <v>104465000</v>
      </c>
      <c r="AO62">
        <v>23836007</v>
      </c>
      <c r="AP62">
        <v>80628993</v>
      </c>
      <c r="AQ62">
        <v>77.2</v>
      </c>
      <c r="AR62">
        <v>65200000</v>
      </c>
      <c r="AS62">
        <v>4552580</v>
      </c>
      <c r="AT62">
        <v>60647420</v>
      </c>
      <c r="AU62">
        <v>93</v>
      </c>
      <c r="AV62">
        <v>39265000</v>
      </c>
      <c r="AW62">
        <v>19283427</v>
      </c>
      <c r="AX62">
        <v>19981573</v>
      </c>
      <c r="AY62">
        <v>50.9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104465000</v>
      </c>
      <c r="BM62">
        <v>23836007</v>
      </c>
      <c r="BN62">
        <v>80628993</v>
      </c>
      <c r="BO62">
        <v>77.2</v>
      </c>
      <c r="BP62" t="s">
        <v>189</v>
      </c>
    </row>
    <row r="63" spans="1:68" x14ac:dyDescent="0.35">
      <c r="A63" t="s">
        <v>191</v>
      </c>
      <c r="B63">
        <v>2652167378.3699999</v>
      </c>
      <c r="C63">
        <v>343928855.68000001</v>
      </c>
      <c r="D63">
        <v>1721607082.72</v>
      </c>
      <c r="E63">
        <v>2065582642.77</v>
      </c>
      <c r="F63">
        <v>586584735.60000002</v>
      </c>
      <c r="G63">
        <v>132693237.06</v>
      </c>
      <c r="H63">
        <v>132123090.31</v>
      </c>
      <c r="I63">
        <v>0</v>
      </c>
      <c r="J63">
        <v>132169794.68000001</v>
      </c>
      <c r="K63">
        <v>523442.38</v>
      </c>
      <c r="L63">
        <v>2519474141.3099999</v>
      </c>
      <c r="M63">
        <v>211805765.37</v>
      </c>
      <c r="N63">
        <v>1618550525.77</v>
      </c>
      <c r="O63">
        <v>1830356291.1400001</v>
      </c>
      <c r="P63">
        <v>689117850.16999996</v>
      </c>
      <c r="Q63">
        <v>0</v>
      </c>
      <c r="R63">
        <v>0</v>
      </c>
      <c r="S63">
        <v>103056556.95</v>
      </c>
      <c r="T63">
        <v>103056556.95</v>
      </c>
      <c r="U63">
        <v>-103056556.95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2652167378.3699999</v>
      </c>
      <c r="AG63">
        <v>343928855.68000001</v>
      </c>
      <c r="AH63">
        <v>1721607082.72</v>
      </c>
      <c r="AI63">
        <v>2065582642.77</v>
      </c>
      <c r="AJ63">
        <v>586584735.60000002</v>
      </c>
      <c r="AK63" t="s">
        <v>192</v>
      </c>
      <c r="AL63" t="s">
        <v>193</v>
      </c>
      <c r="AM63" t="s">
        <v>1288</v>
      </c>
      <c r="AN63">
        <v>1613800465</v>
      </c>
      <c r="AO63">
        <v>343928856</v>
      </c>
      <c r="AP63">
        <v>1269871610</v>
      </c>
      <c r="AQ63">
        <v>78.7</v>
      </c>
      <c r="AR63">
        <v>155</v>
      </c>
      <c r="AS63">
        <v>132123090</v>
      </c>
      <c r="AT63">
        <v>-132122935</v>
      </c>
      <c r="AU63">
        <v>-85163681.299999997</v>
      </c>
      <c r="AV63">
        <v>1613800310</v>
      </c>
      <c r="AW63">
        <v>211805765</v>
      </c>
      <c r="AX63">
        <v>1401994545</v>
      </c>
      <c r="AY63">
        <v>86.9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155</v>
      </c>
      <c r="BM63">
        <v>343928856</v>
      </c>
      <c r="BN63">
        <v>-343928701</v>
      </c>
      <c r="BO63">
        <v>-221689248.69999999</v>
      </c>
      <c r="BP63" t="s">
        <v>192</v>
      </c>
    </row>
    <row r="64" spans="1:68" x14ac:dyDescent="0.35">
      <c r="A64" t="s">
        <v>194</v>
      </c>
      <c r="B64">
        <v>46968520.439999998</v>
      </c>
      <c r="C64">
        <v>15199293.1</v>
      </c>
      <c r="D64">
        <v>24145673.719999999</v>
      </c>
      <c r="E64">
        <v>39344966.82</v>
      </c>
      <c r="F64">
        <v>7623553.6200000001</v>
      </c>
      <c r="G64">
        <v>7848028.3300000001</v>
      </c>
      <c r="H64">
        <v>7848028.3300000001</v>
      </c>
      <c r="I64">
        <v>0</v>
      </c>
      <c r="J64">
        <v>7848028.3300000001</v>
      </c>
      <c r="K64">
        <v>0</v>
      </c>
      <c r="L64">
        <v>39120492.109999999</v>
      </c>
      <c r="M64">
        <v>7351264.7699999996</v>
      </c>
      <c r="N64">
        <v>24145673.719999999</v>
      </c>
      <c r="O64">
        <v>31496938.489999998</v>
      </c>
      <c r="P64">
        <v>7623553.6200000001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46968520.439999998</v>
      </c>
      <c r="AG64">
        <v>15199293.1</v>
      </c>
      <c r="AH64">
        <v>24145673.719999999</v>
      </c>
      <c r="AI64">
        <v>39344966.82</v>
      </c>
      <c r="AJ64">
        <v>7623553.6200000001</v>
      </c>
      <c r="AK64" t="s">
        <v>195</v>
      </c>
      <c r="AL64" t="s">
        <v>196</v>
      </c>
      <c r="AM64" t="s">
        <v>1289</v>
      </c>
      <c r="AN64">
        <v>49830000</v>
      </c>
      <c r="AO64">
        <v>15199293</v>
      </c>
      <c r="AP64">
        <v>34630707</v>
      </c>
      <c r="AQ64">
        <v>69.5</v>
      </c>
      <c r="AR64">
        <v>43330000</v>
      </c>
      <c r="AS64">
        <v>7848028</v>
      </c>
      <c r="AT64">
        <v>35481972</v>
      </c>
      <c r="AU64">
        <v>81.900000000000006</v>
      </c>
      <c r="AV64">
        <v>6500000</v>
      </c>
      <c r="AW64">
        <v>7351265</v>
      </c>
      <c r="AX64">
        <v>-851265</v>
      </c>
      <c r="AY64">
        <v>-13.1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49830000</v>
      </c>
      <c r="BM64">
        <v>15199293</v>
      </c>
      <c r="BN64">
        <v>34630707</v>
      </c>
      <c r="BO64">
        <v>69.5</v>
      </c>
      <c r="BP64" t="s">
        <v>195</v>
      </c>
    </row>
    <row r="65" spans="1:68" x14ac:dyDescent="0.35">
      <c r="A65" t="s">
        <v>197</v>
      </c>
      <c r="B65">
        <v>20488338.93</v>
      </c>
      <c r="C65">
        <v>12942988.68</v>
      </c>
      <c r="D65">
        <v>1362466</v>
      </c>
      <c r="E65">
        <v>14305454.68</v>
      </c>
      <c r="F65">
        <v>6182884.25</v>
      </c>
      <c r="G65">
        <v>6417722.8899999997</v>
      </c>
      <c r="H65">
        <v>6417722.8899999997</v>
      </c>
      <c r="I65">
        <v>0</v>
      </c>
      <c r="J65">
        <v>6417722.8899999997</v>
      </c>
      <c r="K65">
        <v>0</v>
      </c>
      <c r="L65">
        <v>14070616.039999999</v>
      </c>
      <c r="M65">
        <v>6525265.79</v>
      </c>
      <c r="N65">
        <v>1362466</v>
      </c>
      <c r="O65">
        <v>7887731.79</v>
      </c>
      <c r="P65">
        <v>6182884.25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20488338.93</v>
      </c>
      <c r="AG65">
        <v>12942988.68</v>
      </c>
      <c r="AH65">
        <v>1362466</v>
      </c>
      <c r="AI65">
        <v>14305454.68</v>
      </c>
      <c r="AJ65">
        <v>6182884.25</v>
      </c>
      <c r="AK65" t="s">
        <v>198</v>
      </c>
      <c r="AL65" t="s">
        <v>199</v>
      </c>
      <c r="AM65" t="s">
        <v>1290</v>
      </c>
      <c r="AN65">
        <v>127500000</v>
      </c>
      <c r="AO65">
        <v>12942989</v>
      </c>
      <c r="AP65">
        <v>114557011</v>
      </c>
      <c r="AQ65">
        <v>89.8</v>
      </c>
      <c r="AR65">
        <v>98800000</v>
      </c>
      <c r="AS65">
        <v>6417723</v>
      </c>
      <c r="AT65">
        <v>92382277</v>
      </c>
      <c r="AU65">
        <v>93.5</v>
      </c>
      <c r="AV65">
        <v>28700000</v>
      </c>
      <c r="AW65">
        <v>6525266</v>
      </c>
      <c r="AX65">
        <v>22174734</v>
      </c>
      <c r="AY65">
        <v>77.3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127500000</v>
      </c>
      <c r="BM65">
        <v>12942989</v>
      </c>
      <c r="BN65">
        <v>114557011</v>
      </c>
      <c r="BO65">
        <v>89.8</v>
      </c>
      <c r="BP65" t="s">
        <v>198</v>
      </c>
    </row>
    <row r="66" spans="1:68" x14ac:dyDescent="0.35">
      <c r="A66" t="s">
        <v>200</v>
      </c>
      <c r="B66">
        <v>5414379417.0299997</v>
      </c>
      <c r="C66">
        <v>3535503570.5599999</v>
      </c>
      <c r="D66">
        <v>1494547318.8499999</v>
      </c>
      <c r="E66">
        <v>5030050889.4099998</v>
      </c>
      <c r="F66">
        <v>384328527.62</v>
      </c>
      <c r="G66">
        <v>2639889285.5900002</v>
      </c>
      <c r="H66">
        <v>2639889285.6199999</v>
      </c>
      <c r="I66">
        <v>0</v>
      </c>
      <c r="J66">
        <v>2639889285.6199999</v>
      </c>
      <c r="K66">
        <v>-0.03</v>
      </c>
      <c r="L66">
        <v>2774490131.4400001</v>
      </c>
      <c r="M66">
        <v>895614284.94000006</v>
      </c>
      <c r="N66">
        <v>672130715.26999998</v>
      </c>
      <c r="O66">
        <v>1567745000.21</v>
      </c>
      <c r="P66">
        <v>1206745131.23</v>
      </c>
      <c r="Q66">
        <v>0</v>
      </c>
      <c r="R66">
        <v>0</v>
      </c>
      <c r="S66">
        <v>822416603.58000004</v>
      </c>
      <c r="T66">
        <v>822416603.58000004</v>
      </c>
      <c r="U66">
        <v>-822416603.58000004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5414379417.0500002</v>
      </c>
      <c r="AG66">
        <v>3535503570.5599999</v>
      </c>
      <c r="AH66">
        <v>1494547318.8499999</v>
      </c>
      <c r="AI66">
        <v>5030050889.4099998</v>
      </c>
      <c r="AJ66">
        <v>384328527.63999999</v>
      </c>
      <c r="AK66" t="s">
        <v>201</v>
      </c>
      <c r="AL66" t="s">
        <v>202</v>
      </c>
      <c r="AM66" t="s">
        <v>1291</v>
      </c>
      <c r="AN66">
        <v>5755800000</v>
      </c>
      <c r="AO66">
        <v>3535503571</v>
      </c>
      <c r="AP66">
        <v>2220296429</v>
      </c>
      <c r="AQ66">
        <v>38.6</v>
      </c>
      <c r="AR66">
        <v>3449800000</v>
      </c>
      <c r="AS66">
        <v>2639889286</v>
      </c>
      <c r="AT66">
        <v>809910714</v>
      </c>
      <c r="AU66">
        <v>23.5</v>
      </c>
      <c r="AV66">
        <v>2306000000</v>
      </c>
      <c r="AW66">
        <v>895614285</v>
      </c>
      <c r="AX66">
        <v>1410385715</v>
      </c>
      <c r="AY66">
        <v>61.2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5755853475</v>
      </c>
      <c r="BM66">
        <v>3535503571</v>
      </c>
      <c r="BN66">
        <v>2220349904</v>
      </c>
      <c r="BO66">
        <v>38.6</v>
      </c>
      <c r="BP66" t="s">
        <v>201</v>
      </c>
    </row>
    <row r="67" spans="1:68" x14ac:dyDescent="0.35">
      <c r="A67" t="s">
        <v>203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">
        <v>204</v>
      </c>
      <c r="AL67" t="s">
        <v>205</v>
      </c>
      <c r="AM67" t="s">
        <v>1292</v>
      </c>
      <c r="AN67">
        <v>100000</v>
      </c>
      <c r="AO67">
        <v>0</v>
      </c>
      <c r="AP67">
        <v>100000</v>
      </c>
      <c r="AQ67">
        <v>100</v>
      </c>
      <c r="AR67">
        <v>100000</v>
      </c>
      <c r="AS67">
        <v>0</v>
      </c>
      <c r="AT67">
        <v>100000</v>
      </c>
      <c r="AU67">
        <v>100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100000</v>
      </c>
      <c r="BM67">
        <v>0</v>
      </c>
      <c r="BN67">
        <v>100000</v>
      </c>
      <c r="BO67">
        <v>100</v>
      </c>
      <c r="BP67" t="s">
        <v>204</v>
      </c>
    </row>
    <row r="68" spans="1:68" x14ac:dyDescent="0.35">
      <c r="A68" t="s">
        <v>206</v>
      </c>
      <c r="B68">
        <v>60215054.740000002</v>
      </c>
      <c r="C68">
        <v>19979085.66</v>
      </c>
      <c r="D68">
        <v>15408719.689999999</v>
      </c>
      <c r="E68">
        <v>35387805.350000001</v>
      </c>
      <c r="F68">
        <v>24827249.390000001</v>
      </c>
      <c r="G68">
        <v>17446752.870000001</v>
      </c>
      <c r="H68">
        <v>17446752.789999999</v>
      </c>
      <c r="I68">
        <v>0</v>
      </c>
      <c r="J68">
        <v>17446752.789999999</v>
      </c>
      <c r="K68">
        <v>0.08</v>
      </c>
      <c r="L68">
        <v>42768301.869999997</v>
      </c>
      <c r="M68">
        <v>2532332.87</v>
      </c>
      <c r="N68">
        <v>13933719.689999999</v>
      </c>
      <c r="O68">
        <v>16466052.560000001</v>
      </c>
      <c r="P68">
        <v>26302249.309999999</v>
      </c>
      <c r="Q68">
        <v>0</v>
      </c>
      <c r="R68">
        <v>0</v>
      </c>
      <c r="S68">
        <v>1475000</v>
      </c>
      <c r="T68">
        <v>1475000</v>
      </c>
      <c r="U68">
        <v>-1475000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60215054.740000002</v>
      </c>
      <c r="AG68">
        <v>19979085.66</v>
      </c>
      <c r="AH68">
        <v>15408719.689999999</v>
      </c>
      <c r="AI68">
        <v>35387805.350000001</v>
      </c>
      <c r="AJ68">
        <v>24827249.390000001</v>
      </c>
      <c r="AK68" t="s">
        <v>207</v>
      </c>
      <c r="AL68" t="s">
        <v>208</v>
      </c>
      <c r="AM68" t="s">
        <v>1293</v>
      </c>
      <c r="AN68">
        <v>40645000</v>
      </c>
      <c r="AO68">
        <v>19979086</v>
      </c>
      <c r="AP68">
        <v>20665914</v>
      </c>
      <c r="AQ68">
        <v>50.8</v>
      </c>
      <c r="AR68">
        <v>40645000</v>
      </c>
      <c r="AS68">
        <v>17446753</v>
      </c>
      <c r="AT68">
        <v>23198247</v>
      </c>
      <c r="AU68">
        <v>57.1</v>
      </c>
      <c r="AV68">
        <v>0</v>
      </c>
      <c r="AW68">
        <v>2532333</v>
      </c>
      <c r="AX68">
        <v>-2532333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40645000</v>
      </c>
      <c r="BM68">
        <v>19979086</v>
      </c>
      <c r="BN68">
        <v>20665914</v>
      </c>
      <c r="BO68">
        <v>50.8</v>
      </c>
      <c r="BP68" t="s">
        <v>207</v>
      </c>
    </row>
    <row r="69" spans="1:68" x14ac:dyDescent="0.35">
      <c r="A69" t="s">
        <v>209</v>
      </c>
      <c r="B69">
        <v>2635156340.1700001</v>
      </c>
      <c r="C69">
        <v>493391804.54000002</v>
      </c>
      <c r="D69">
        <v>1326308461.6300001</v>
      </c>
      <c r="E69">
        <v>1820609479.3699999</v>
      </c>
      <c r="F69">
        <v>814546860.79999995</v>
      </c>
      <c r="G69">
        <v>181250993.91</v>
      </c>
      <c r="H69">
        <v>181250993.91</v>
      </c>
      <c r="I69">
        <v>12903017.82</v>
      </c>
      <c r="J69">
        <v>194154011.72999999</v>
      </c>
      <c r="K69">
        <v>-12903017.82</v>
      </c>
      <c r="L69">
        <v>2453905346.2600002</v>
      </c>
      <c r="M69">
        <v>312140810.63</v>
      </c>
      <c r="N69">
        <v>1226645297.05</v>
      </c>
      <c r="O69">
        <v>1539695320.8800001</v>
      </c>
      <c r="P69">
        <v>914210025.38</v>
      </c>
      <c r="Q69">
        <v>0</v>
      </c>
      <c r="R69">
        <v>0</v>
      </c>
      <c r="S69">
        <v>86760146.760000005</v>
      </c>
      <c r="T69">
        <v>86760146.760000005</v>
      </c>
      <c r="U69">
        <v>-86760146.760000005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2638451692.73</v>
      </c>
      <c r="AG69">
        <v>493391804.54000002</v>
      </c>
      <c r="AH69">
        <v>1326308461.6300001</v>
      </c>
      <c r="AI69">
        <v>1820609479.3699999</v>
      </c>
      <c r="AJ69">
        <v>817842213.36000001</v>
      </c>
      <c r="AK69" t="s">
        <v>210</v>
      </c>
      <c r="AL69" t="s">
        <v>211</v>
      </c>
      <c r="AM69" t="s">
        <v>1294</v>
      </c>
      <c r="AN69">
        <v>4263500000</v>
      </c>
      <c r="AO69">
        <v>493391805</v>
      </c>
      <c r="AP69">
        <v>3770108195</v>
      </c>
      <c r="AQ69">
        <v>88.4</v>
      </c>
      <c r="AR69">
        <v>2119600000</v>
      </c>
      <c r="AS69">
        <v>181250994</v>
      </c>
      <c r="AT69">
        <v>1938349006</v>
      </c>
      <c r="AU69">
        <v>91.4</v>
      </c>
      <c r="AV69">
        <v>2143900000</v>
      </c>
      <c r="AW69">
        <v>312140811</v>
      </c>
      <c r="AX69">
        <v>1831759189</v>
      </c>
      <c r="AY69">
        <v>85.4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4263500000</v>
      </c>
      <c r="BM69">
        <v>493391805</v>
      </c>
      <c r="BN69">
        <v>3770108195</v>
      </c>
      <c r="BO69">
        <v>88.4</v>
      </c>
      <c r="BP69" t="s">
        <v>210</v>
      </c>
    </row>
    <row r="70" spans="1:68" x14ac:dyDescent="0.35">
      <c r="A70" t="s">
        <v>212</v>
      </c>
      <c r="B70">
        <v>3436930655.4000001</v>
      </c>
      <c r="C70">
        <v>1191911518.3099999</v>
      </c>
      <c r="D70">
        <v>1499602209.8399999</v>
      </c>
      <c r="E70">
        <v>2691513728.1500001</v>
      </c>
      <c r="F70">
        <v>745416927.25</v>
      </c>
      <c r="G70">
        <v>316149311.69</v>
      </c>
      <c r="H70">
        <v>316149311.69</v>
      </c>
      <c r="I70">
        <v>76493160.549999997</v>
      </c>
      <c r="J70">
        <v>392642472.24000001</v>
      </c>
      <c r="K70">
        <v>-76493160.549999997</v>
      </c>
      <c r="L70">
        <v>3120781343.71</v>
      </c>
      <c r="M70">
        <v>875762206.62</v>
      </c>
      <c r="N70">
        <v>1306988599.8900001</v>
      </c>
      <c r="O70">
        <v>2182750806.5100002</v>
      </c>
      <c r="P70">
        <v>938030537.20000005</v>
      </c>
      <c r="Q70">
        <v>0</v>
      </c>
      <c r="R70">
        <v>0</v>
      </c>
      <c r="S70">
        <v>116120449.40000001</v>
      </c>
      <c r="T70">
        <v>116120449.40000001</v>
      </c>
      <c r="U70">
        <v>-116120449.40000001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3436930655.4000001</v>
      </c>
      <c r="AG70">
        <v>1191911518.3099999</v>
      </c>
      <c r="AH70">
        <v>1499602209.8399999</v>
      </c>
      <c r="AI70">
        <v>2691513728.1500001</v>
      </c>
      <c r="AJ70">
        <v>745416927.25</v>
      </c>
      <c r="AK70" t="s">
        <v>213</v>
      </c>
      <c r="AL70" t="s">
        <v>214</v>
      </c>
      <c r="AM70" t="s">
        <v>1295</v>
      </c>
      <c r="AN70">
        <v>4198700000</v>
      </c>
      <c r="AO70">
        <v>1191911518</v>
      </c>
      <c r="AP70">
        <v>3006788482</v>
      </c>
      <c r="AQ70">
        <v>71.599999999999994</v>
      </c>
      <c r="AR70">
        <v>1731000000</v>
      </c>
      <c r="AS70">
        <v>316149312</v>
      </c>
      <c r="AT70">
        <v>1414850688</v>
      </c>
      <c r="AU70">
        <v>81.7</v>
      </c>
      <c r="AV70">
        <v>2467700000</v>
      </c>
      <c r="AW70">
        <v>875762207</v>
      </c>
      <c r="AX70">
        <v>1591937793</v>
      </c>
      <c r="AY70">
        <v>64.5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4198700000</v>
      </c>
      <c r="BM70">
        <v>1191911518</v>
      </c>
      <c r="BN70">
        <v>3006788482</v>
      </c>
      <c r="BO70">
        <v>71.599999999999994</v>
      </c>
      <c r="BP70" t="s">
        <v>213</v>
      </c>
    </row>
    <row r="71" spans="1:68" x14ac:dyDescent="0.35">
      <c r="A71" t="s">
        <v>215</v>
      </c>
      <c r="B71">
        <v>1945958550.8499999</v>
      </c>
      <c r="C71">
        <v>818291570.82000005</v>
      </c>
      <c r="D71">
        <v>689184514.27999997</v>
      </c>
      <c r="E71">
        <v>1507476085.0999999</v>
      </c>
      <c r="F71">
        <v>438482465.75</v>
      </c>
      <c r="G71">
        <v>585070207.27999997</v>
      </c>
      <c r="H71">
        <v>585070207.24000001</v>
      </c>
      <c r="I71">
        <v>582951.93999999994</v>
      </c>
      <c r="J71">
        <v>585653159.17999995</v>
      </c>
      <c r="K71">
        <v>-582951.9</v>
      </c>
      <c r="L71">
        <v>1360888343.5699999</v>
      </c>
      <c r="M71">
        <v>233221363.58000001</v>
      </c>
      <c r="N71">
        <v>600859606.36000001</v>
      </c>
      <c r="O71">
        <v>834080969.94000006</v>
      </c>
      <c r="P71">
        <v>526807373.63</v>
      </c>
      <c r="Q71">
        <v>0</v>
      </c>
      <c r="R71">
        <v>0</v>
      </c>
      <c r="S71">
        <v>87741955.980000004</v>
      </c>
      <c r="T71">
        <v>87741955.980000004</v>
      </c>
      <c r="U71">
        <v>-87741955.980000004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1945958550.8499999</v>
      </c>
      <c r="AG71">
        <v>818291570.82000005</v>
      </c>
      <c r="AH71">
        <v>689184514.27999997</v>
      </c>
      <c r="AI71">
        <v>1507476085.0999999</v>
      </c>
      <c r="AJ71">
        <v>438482465.75</v>
      </c>
      <c r="AK71" t="s">
        <v>216</v>
      </c>
      <c r="AL71" t="s">
        <v>217</v>
      </c>
      <c r="AM71" t="s">
        <v>1296</v>
      </c>
      <c r="AN71">
        <v>437100000</v>
      </c>
      <c r="AO71">
        <v>818291571</v>
      </c>
      <c r="AP71">
        <v>-381191571</v>
      </c>
      <c r="AQ71">
        <v>-87.2</v>
      </c>
      <c r="AR71">
        <v>0</v>
      </c>
      <c r="AS71">
        <v>585070207</v>
      </c>
      <c r="AT71">
        <v>-585070207</v>
      </c>
      <c r="AU71">
        <v>0</v>
      </c>
      <c r="AV71">
        <v>437100000</v>
      </c>
      <c r="AW71">
        <v>233221364</v>
      </c>
      <c r="AX71">
        <v>203878636</v>
      </c>
      <c r="AY71">
        <v>46.6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437100000</v>
      </c>
      <c r="BM71">
        <v>818291571</v>
      </c>
      <c r="BN71">
        <v>-381191571</v>
      </c>
      <c r="BO71">
        <v>-87.2</v>
      </c>
      <c r="BP71" t="s">
        <v>216</v>
      </c>
    </row>
    <row r="72" spans="1:68" x14ac:dyDescent="0.35">
      <c r="A72" t="s">
        <v>218</v>
      </c>
      <c r="B72">
        <v>68775268.170000002</v>
      </c>
      <c r="C72">
        <v>7688749.5199999996</v>
      </c>
      <c r="D72">
        <v>154242.87</v>
      </c>
      <c r="E72">
        <v>7842992.3899999997</v>
      </c>
      <c r="F72">
        <v>60932275.780000001</v>
      </c>
      <c r="G72">
        <v>7688749.7199999997</v>
      </c>
      <c r="H72">
        <v>7688749.5199999996</v>
      </c>
      <c r="I72">
        <v>0</v>
      </c>
      <c r="J72">
        <v>7688749.5199999996</v>
      </c>
      <c r="K72">
        <v>0.2</v>
      </c>
      <c r="L72">
        <v>61086518.450000003</v>
      </c>
      <c r="M72">
        <v>0</v>
      </c>
      <c r="N72">
        <v>154242.87</v>
      </c>
      <c r="O72">
        <v>154242.87</v>
      </c>
      <c r="P72">
        <v>60932275.579999998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68775268.170000002</v>
      </c>
      <c r="AG72">
        <v>7688749.5199999996</v>
      </c>
      <c r="AH72">
        <v>154242.87</v>
      </c>
      <c r="AI72">
        <v>7842992.3899999997</v>
      </c>
      <c r="AJ72">
        <v>60932275.780000001</v>
      </c>
      <c r="AK72" t="s">
        <v>219</v>
      </c>
      <c r="AL72" t="s">
        <v>220</v>
      </c>
      <c r="AM72" t="s">
        <v>1297</v>
      </c>
      <c r="AN72">
        <v>254205000</v>
      </c>
      <c r="AO72">
        <v>7688750</v>
      </c>
      <c r="AP72">
        <v>246516250</v>
      </c>
      <c r="AQ72">
        <v>97</v>
      </c>
      <c r="AR72">
        <v>254205000</v>
      </c>
      <c r="AS72">
        <v>7688750</v>
      </c>
      <c r="AT72">
        <v>246516250</v>
      </c>
      <c r="AU72">
        <v>97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254205000</v>
      </c>
      <c r="BM72">
        <v>7688750</v>
      </c>
      <c r="BN72">
        <v>246516250</v>
      </c>
      <c r="BO72">
        <v>97</v>
      </c>
      <c r="BP72" t="s">
        <v>219</v>
      </c>
    </row>
    <row r="73" spans="1:68" x14ac:dyDescent="0.35">
      <c r="A73" t="s">
        <v>221</v>
      </c>
      <c r="B73">
        <v>2211403</v>
      </c>
      <c r="C73">
        <v>0</v>
      </c>
      <c r="D73">
        <v>1874070</v>
      </c>
      <c r="E73">
        <v>1874070</v>
      </c>
      <c r="F73">
        <v>337333</v>
      </c>
      <c r="G73">
        <v>0</v>
      </c>
      <c r="H73">
        <v>0</v>
      </c>
      <c r="I73">
        <v>0</v>
      </c>
      <c r="J73">
        <v>0</v>
      </c>
      <c r="K73">
        <v>0</v>
      </c>
      <c r="L73">
        <v>2211403</v>
      </c>
      <c r="M73">
        <v>0</v>
      </c>
      <c r="N73">
        <v>1874070</v>
      </c>
      <c r="O73">
        <v>1874070</v>
      </c>
      <c r="P73">
        <v>337333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2211403</v>
      </c>
      <c r="AG73">
        <v>0</v>
      </c>
      <c r="AH73">
        <v>1874070</v>
      </c>
      <c r="AI73">
        <v>1874070</v>
      </c>
      <c r="AJ73">
        <v>337333</v>
      </c>
      <c r="AK73" t="s">
        <v>222</v>
      </c>
      <c r="AL73" t="s">
        <v>223</v>
      </c>
      <c r="AM73" t="s">
        <v>1298</v>
      </c>
      <c r="AN73">
        <v>52250000</v>
      </c>
      <c r="AO73">
        <v>0</v>
      </c>
      <c r="AP73">
        <v>52250000</v>
      </c>
      <c r="AQ73">
        <v>100</v>
      </c>
      <c r="AR73">
        <v>52250000</v>
      </c>
      <c r="AS73">
        <v>0</v>
      </c>
      <c r="AT73">
        <v>52250000</v>
      </c>
      <c r="AU73">
        <v>100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52250000</v>
      </c>
      <c r="BM73">
        <v>0</v>
      </c>
      <c r="BN73">
        <v>52250000</v>
      </c>
      <c r="BO73">
        <v>100</v>
      </c>
      <c r="BP73" t="s">
        <v>222</v>
      </c>
    </row>
    <row r="74" spans="1:68" x14ac:dyDescent="0.35">
      <c r="A74" t="s">
        <v>224</v>
      </c>
      <c r="B74">
        <v>60996959.460000001</v>
      </c>
      <c r="C74">
        <v>6095602.1399999997</v>
      </c>
      <c r="D74">
        <v>10275286.51</v>
      </c>
      <c r="E74">
        <v>16370888.65</v>
      </c>
      <c r="F74">
        <v>44626070.810000002</v>
      </c>
      <c r="G74">
        <v>5963301.9500000002</v>
      </c>
      <c r="H74">
        <v>5963301.9500000002</v>
      </c>
      <c r="I74">
        <v>0</v>
      </c>
      <c r="J74">
        <v>5963301.9500000002</v>
      </c>
      <c r="K74">
        <v>0</v>
      </c>
      <c r="L74">
        <v>55033657.509999998</v>
      </c>
      <c r="M74">
        <v>132300.19</v>
      </c>
      <c r="N74">
        <v>10275286.51</v>
      </c>
      <c r="O74">
        <v>10407586.699999999</v>
      </c>
      <c r="P74">
        <v>44626070.810000002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60996959.460000001</v>
      </c>
      <c r="AG74">
        <v>6095602.1399999997</v>
      </c>
      <c r="AH74">
        <v>10275286.51</v>
      </c>
      <c r="AI74">
        <v>16370888.65</v>
      </c>
      <c r="AJ74">
        <v>44626070.810000002</v>
      </c>
      <c r="AK74" t="s">
        <v>225</v>
      </c>
      <c r="AL74" t="s">
        <v>226</v>
      </c>
      <c r="AM74" t="s">
        <v>1299</v>
      </c>
      <c r="AN74">
        <v>29200000</v>
      </c>
      <c r="AO74">
        <v>6095602</v>
      </c>
      <c r="AP74">
        <v>23104398</v>
      </c>
      <c r="AQ74">
        <v>79.099999999999994</v>
      </c>
      <c r="AR74">
        <v>26450000</v>
      </c>
      <c r="AS74">
        <v>5963302</v>
      </c>
      <c r="AT74">
        <v>20486698</v>
      </c>
      <c r="AU74">
        <v>77.5</v>
      </c>
      <c r="AV74">
        <v>2750000</v>
      </c>
      <c r="AW74">
        <v>132300</v>
      </c>
      <c r="AX74">
        <v>2617700</v>
      </c>
      <c r="AY74">
        <v>95.2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26450000</v>
      </c>
      <c r="BM74">
        <v>6095602</v>
      </c>
      <c r="BN74">
        <v>20354398</v>
      </c>
      <c r="BO74">
        <v>77</v>
      </c>
      <c r="BP74" t="s">
        <v>225</v>
      </c>
    </row>
    <row r="75" spans="1:68" x14ac:dyDescent="0.35">
      <c r="A75" t="s">
        <v>227</v>
      </c>
      <c r="B75">
        <v>4393251.8600000003</v>
      </c>
      <c r="C75">
        <v>1395265.79</v>
      </c>
      <c r="D75">
        <v>1390090</v>
      </c>
      <c r="E75">
        <v>2785355.79</v>
      </c>
      <c r="F75">
        <v>1607896.07</v>
      </c>
      <c r="G75">
        <v>1106065.8600000001</v>
      </c>
      <c r="H75">
        <v>1106065.8600000001</v>
      </c>
      <c r="I75">
        <v>0</v>
      </c>
      <c r="J75">
        <v>1106065.8600000001</v>
      </c>
      <c r="K75">
        <v>0</v>
      </c>
      <c r="L75">
        <v>3287186</v>
      </c>
      <c r="M75">
        <v>289199.93</v>
      </c>
      <c r="N75">
        <v>1390090</v>
      </c>
      <c r="O75">
        <v>1679289.93</v>
      </c>
      <c r="P75">
        <v>1607896.07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4393251.8600000003</v>
      </c>
      <c r="AG75">
        <v>1395265.79</v>
      </c>
      <c r="AH75">
        <v>1390090</v>
      </c>
      <c r="AI75">
        <v>2785355.79</v>
      </c>
      <c r="AJ75">
        <v>1607896.07</v>
      </c>
      <c r="AK75" t="s">
        <v>228</v>
      </c>
      <c r="AL75" t="s">
        <v>229</v>
      </c>
      <c r="AM75" t="s">
        <v>1300</v>
      </c>
      <c r="AN75">
        <v>2588000</v>
      </c>
      <c r="AO75">
        <v>1395266</v>
      </c>
      <c r="AP75">
        <v>1192734</v>
      </c>
      <c r="AQ75">
        <v>46.1</v>
      </c>
      <c r="AR75">
        <v>88000</v>
      </c>
      <c r="AS75">
        <v>1106066</v>
      </c>
      <c r="AT75">
        <v>-1018066</v>
      </c>
      <c r="AU75">
        <v>-1156.9000000000001</v>
      </c>
      <c r="AV75">
        <v>2500000</v>
      </c>
      <c r="AW75">
        <v>289200</v>
      </c>
      <c r="AX75">
        <v>2210800</v>
      </c>
      <c r="AY75">
        <v>88.4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2588000</v>
      </c>
      <c r="BM75">
        <v>1395266</v>
      </c>
      <c r="BN75">
        <v>1192734</v>
      </c>
      <c r="BO75">
        <v>46.1</v>
      </c>
      <c r="BP75" t="s">
        <v>228</v>
      </c>
    </row>
    <row r="76" spans="1:68" x14ac:dyDescent="0.35">
      <c r="A76" t="s">
        <v>230</v>
      </c>
      <c r="B76">
        <v>20034353.25</v>
      </c>
      <c r="C76">
        <v>6355287.4500000002</v>
      </c>
      <c r="D76">
        <v>4411376.97</v>
      </c>
      <c r="E76">
        <v>10766664.42</v>
      </c>
      <c r="F76">
        <v>9267688.8300000001</v>
      </c>
      <c r="G76">
        <v>5352030.4000000004</v>
      </c>
      <c r="H76">
        <v>5352030.4000000004</v>
      </c>
      <c r="I76">
        <v>0</v>
      </c>
      <c r="J76">
        <v>5352030.4000000004</v>
      </c>
      <c r="K76">
        <v>0</v>
      </c>
      <c r="L76">
        <v>14682322.85</v>
      </c>
      <c r="M76">
        <v>1003257.05</v>
      </c>
      <c r="N76">
        <v>4411376.97</v>
      </c>
      <c r="O76">
        <v>5414634.0199999996</v>
      </c>
      <c r="P76">
        <v>9267688.8300000001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20034353.25</v>
      </c>
      <c r="AG76">
        <v>6355287.4500000002</v>
      </c>
      <c r="AH76">
        <v>4411376.97</v>
      </c>
      <c r="AI76">
        <v>10766664.42</v>
      </c>
      <c r="AJ76">
        <v>9267688.8300000001</v>
      </c>
      <c r="AK76" t="s">
        <v>231</v>
      </c>
      <c r="AL76" t="s">
        <v>232</v>
      </c>
      <c r="AM76" t="s">
        <v>1301</v>
      </c>
      <c r="AN76">
        <v>9364895</v>
      </c>
      <c r="AO76">
        <v>6355287</v>
      </c>
      <c r="AP76">
        <v>3009608</v>
      </c>
      <c r="AQ76">
        <v>32.1</v>
      </c>
      <c r="AR76">
        <v>0</v>
      </c>
      <c r="AS76">
        <v>5352030</v>
      </c>
      <c r="AT76">
        <v>-5352030</v>
      </c>
      <c r="AU76">
        <v>0</v>
      </c>
      <c r="AV76">
        <v>9364895</v>
      </c>
      <c r="AW76">
        <v>1003257</v>
      </c>
      <c r="AX76">
        <v>8361638</v>
      </c>
      <c r="AY76">
        <v>89.3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9364895</v>
      </c>
      <c r="BM76">
        <v>6355287</v>
      </c>
      <c r="BN76">
        <v>3009608</v>
      </c>
      <c r="BO76">
        <v>32.1</v>
      </c>
      <c r="BP76" t="s">
        <v>231</v>
      </c>
    </row>
    <row r="77" spans="1:68" x14ac:dyDescent="0.35">
      <c r="A77" t="s">
        <v>233</v>
      </c>
      <c r="B77">
        <v>359539269.07999998</v>
      </c>
      <c r="C77">
        <v>103142642.26000001</v>
      </c>
      <c r="D77">
        <v>191025491.34999999</v>
      </c>
      <c r="E77">
        <v>294168133.61000001</v>
      </c>
      <c r="F77">
        <v>65371135.469999999</v>
      </c>
      <c r="G77">
        <v>26401273.899999999</v>
      </c>
      <c r="H77">
        <v>26401273.899999999</v>
      </c>
      <c r="I77">
        <v>0</v>
      </c>
      <c r="J77">
        <v>26401273.899999999</v>
      </c>
      <c r="K77">
        <v>0</v>
      </c>
      <c r="L77">
        <v>333137995.18000001</v>
      </c>
      <c r="M77">
        <v>76741368.359999999</v>
      </c>
      <c r="N77">
        <v>191025491.34999999</v>
      </c>
      <c r="O77">
        <v>267766859.71000001</v>
      </c>
      <c r="P77">
        <v>65371135.469999999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359539269.07999998</v>
      </c>
      <c r="AG77">
        <v>103142642.26000001</v>
      </c>
      <c r="AH77">
        <v>191025491.34999999</v>
      </c>
      <c r="AI77">
        <v>294168133.61000001</v>
      </c>
      <c r="AJ77">
        <v>65371135.469999999</v>
      </c>
      <c r="AK77" t="s">
        <v>234</v>
      </c>
      <c r="AL77" t="s">
        <v>235</v>
      </c>
      <c r="AM77" t="s">
        <v>1302</v>
      </c>
      <c r="AN77">
        <v>93600000</v>
      </c>
      <c r="AO77">
        <v>103142642</v>
      </c>
      <c r="AP77">
        <v>-9542642</v>
      </c>
      <c r="AQ77">
        <v>-10.199999999999999</v>
      </c>
      <c r="AR77">
        <v>23300000</v>
      </c>
      <c r="AS77">
        <v>26401274</v>
      </c>
      <c r="AT77">
        <v>-3101274</v>
      </c>
      <c r="AU77">
        <v>-13.3</v>
      </c>
      <c r="AV77">
        <v>70300000</v>
      </c>
      <c r="AW77">
        <v>76741368</v>
      </c>
      <c r="AX77">
        <v>-6441368</v>
      </c>
      <c r="AY77">
        <v>-9.1999999999999993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70300000</v>
      </c>
      <c r="BM77">
        <v>103142642</v>
      </c>
      <c r="BN77">
        <v>-32842642</v>
      </c>
      <c r="BO77">
        <v>-46.7</v>
      </c>
      <c r="BP77" t="s">
        <v>234</v>
      </c>
    </row>
    <row r="78" spans="1:68" x14ac:dyDescent="0.35">
      <c r="A78" t="s">
        <v>236</v>
      </c>
      <c r="B78">
        <v>106484901.73999999</v>
      </c>
      <c r="C78">
        <v>19073242.609999999</v>
      </c>
      <c r="D78">
        <v>37261114.740000002</v>
      </c>
      <c r="E78">
        <v>56334357.350000001</v>
      </c>
      <c r="F78">
        <v>50150544.390000001</v>
      </c>
      <c r="G78">
        <v>4753313.7699999996</v>
      </c>
      <c r="H78">
        <v>3777869.28</v>
      </c>
      <c r="I78">
        <v>0</v>
      </c>
      <c r="J78">
        <v>3777869.28</v>
      </c>
      <c r="K78">
        <v>975444.49</v>
      </c>
      <c r="L78">
        <v>101731587.97</v>
      </c>
      <c r="M78">
        <v>15295373.33</v>
      </c>
      <c r="N78">
        <v>37261114.740000002</v>
      </c>
      <c r="O78">
        <v>52556488.07</v>
      </c>
      <c r="P78">
        <v>49175099.899999999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106484901.73999999</v>
      </c>
      <c r="AG78">
        <v>19073242.609999999</v>
      </c>
      <c r="AH78">
        <v>37261114.740000002</v>
      </c>
      <c r="AI78">
        <v>56334357.350000001</v>
      </c>
      <c r="AJ78">
        <v>50150544.390000001</v>
      </c>
      <c r="AK78" t="s">
        <v>237</v>
      </c>
      <c r="AL78" t="s">
        <v>238</v>
      </c>
      <c r="AM78" t="s">
        <v>1303</v>
      </c>
      <c r="AN78">
        <v>187600000</v>
      </c>
      <c r="AO78">
        <v>19073243</v>
      </c>
      <c r="AP78">
        <v>168526757</v>
      </c>
      <c r="AQ78">
        <v>89.8</v>
      </c>
      <c r="AR78">
        <v>187600000</v>
      </c>
      <c r="AS78">
        <v>3777869</v>
      </c>
      <c r="AT78">
        <v>183822131</v>
      </c>
      <c r="AU78">
        <v>98</v>
      </c>
      <c r="AV78">
        <v>0</v>
      </c>
      <c r="AW78">
        <v>15295373</v>
      </c>
      <c r="AX78">
        <v>-15295373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82800000</v>
      </c>
      <c r="BM78">
        <v>19073243</v>
      </c>
      <c r="BN78">
        <v>63726757</v>
      </c>
      <c r="BO78">
        <v>77</v>
      </c>
      <c r="BP78" t="s">
        <v>237</v>
      </c>
    </row>
    <row r="79" spans="1:68" x14ac:dyDescent="0.35">
      <c r="A79" t="s">
        <v>239</v>
      </c>
      <c r="B79">
        <v>2200000</v>
      </c>
      <c r="C79">
        <v>0</v>
      </c>
      <c r="D79">
        <v>0</v>
      </c>
      <c r="E79">
        <v>0</v>
      </c>
      <c r="F79">
        <v>2200000</v>
      </c>
      <c r="G79">
        <v>2200000</v>
      </c>
      <c r="H79">
        <v>0</v>
      </c>
      <c r="I79">
        <v>0</v>
      </c>
      <c r="J79">
        <v>0</v>
      </c>
      <c r="K79">
        <v>2200000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2200000</v>
      </c>
      <c r="AG79">
        <v>0</v>
      </c>
      <c r="AH79">
        <v>0</v>
      </c>
      <c r="AI79">
        <v>0</v>
      </c>
      <c r="AJ79">
        <v>2200000</v>
      </c>
      <c r="AK79" t="s">
        <v>240</v>
      </c>
      <c r="AL79" t="s">
        <v>241</v>
      </c>
    </row>
    <row r="80" spans="1:68" x14ac:dyDescent="0.35">
      <c r="A80" t="s">
        <v>242</v>
      </c>
      <c r="B80">
        <v>70190919.319999993</v>
      </c>
      <c r="C80">
        <v>3267064.97</v>
      </c>
      <c r="D80">
        <v>11595603.300000001</v>
      </c>
      <c r="E80">
        <v>14862668.27</v>
      </c>
      <c r="F80">
        <v>55328251.049999997</v>
      </c>
      <c r="G80">
        <v>2005457.87</v>
      </c>
      <c r="H80">
        <v>2005457.87</v>
      </c>
      <c r="I80">
        <v>0</v>
      </c>
      <c r="J80">
        <v>2005457.87</v>
      </c>
      <c r="K80">
        <v>0</v>
      </c>
      <c r="L80">
        <v>68185461.450000003</v>
      </c>
      <c r="M80">
        <v>1261607.1000000001</v>
      </c>
      <c r="N80">
        <v>9746853.3000000007</v>
      </c>
      <c r="O80">
        <v>11008460.4</v>
      </c>
      <c r="P80">
        <v>57177001.049999997</v>
      </c>
      <c r="Q80">
        <v>0</v>
      </c>
      <c r="R80">
        <v>0</v>
      </c>
      <c r="S80">
        <v>1848750</v>
      </c>
      <c r="T80">
        <v>1848750</v>
      </c>
      <c r="U80">
        <v>-1848750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70190919.319999993</v>
      </c>
      <c r="AG80">
        <v>3267064.97</v>
      </c>
      <c r="AH80">
        <v>11595603.300000001</v>
      </c>
      <c r="AI80">
        <v>14862668.27</v>
      </c>
      <c r="AJ80">
        <v>55328251.049999997</v>
      </c>
      <c r="AK80" t="s">
        <v>243</v>
      </c>
      <c r="AL80" t="s">
        <v>244</v>
      </c>
      <c r="AM80" t="s">
        <v>1304</v>
      </c>
      <c r="AN80">
        <v>129821000</v>
      </c>
      <c r="AO80">
        <v>3267065</v>
      </c>
      <c r="AP80">
        <v>126553935</v>
      </c>
      <c r="AQ80">
        <v>97.5</v>
      </c>
      <c r="AR80">
        <v>74826000</v>
      </c>
      <c r="AS80">
        <v>2005458</v>
      </c>
      <c r="AT80">
        <v>72820542</v>
      </c>
      <c r="AU80">
        <v>97.3</v>
      </c>
      <c r="AV80">
        <v>54995000</v>
      </c>
      <c r="AW80">
        <v>1261607</v>
      </c>
      <c r="AX80">
        <v>53733393</v>
      </c>
      <c r="AY80">
        <v>97.7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129821000</v>
      </c>
      <c r="BM80">
        <v>3267065</v>
      </c>
      <c r="BN80">
        <v>126553935</v>
      </c>
      <c r="BO80">
        <v>97.5</v>
      </c>
      <c r="BP80" t="s">
        <v>243</v>
      </c>
    </row>
    <row r="81" spans="1:68" x14ac:dyDescent="0.35">
      <c r="A81" t="s">
        <v>245</v>
      </c>
      <c r="B81">
        <v>9000000</v>
      </c>
      <c r="C81">
        <v>0</v>
      </c>
      <c r="D81">
        <v>1125600</v>
      </c>
      <c r="E81">
        <v>1125600</v>
      </c>
      <c r="F81">
        <v>7874400</v>
      </c>
      <c r="G81">
        <v>0</v>
      </c>
      <c r="H81">
        <v>0</v>
      </c>
      <c r="I81">
        <v>0</v>
      </c>
      <c r="J81">
        <v>0</v>
      </c>
      <c r="K81">
        <v>0</v>
      </c>
      <c r="L81">
        <v>9000000</v>
      </c>
      <c r="M81">
        <v>0</v>
      </c>
      <c r="N81">
        <v>1125600</v>
      </c>
      <c r="O81">
        <v>1125600</v>
      </c>
      <c r="P81">
        <v>7874400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9000000</v>
      </c>
      <c r="AG81">
        <v>0</v>
      </c>
      <c r="AH81">
        <v>1125600</v>
      </c>
      <c r="AI81">
        <v>1125600</v>
      </c>
      <c r="AJ81">
        <v>7874400</v>
      </c>
      <c r="AK81" t="s">
        <v>246</v>
      </c>
      <c r="AL81" t="s">
        <v>247</v>
      </c>
      <c r="AM81" t="s">
        <v>1305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9000000</v>
      </c>
      <c r="BM81">
        <v>0</v>
      </c>
      <c r="BN81">
        <v>9000000</v>
      </c>
      <c r="BO81">
        <v>100</v>
      </c>
      <c r="BP81" t="s">
        <v>246</v>
      </c>
    </row>
    <row r="82" spans="1:68" x14ac:dyDescent="0.35">
      <c r="A82" t="s">
        <v>248</v>
      </c>
      <c r="B82">
        <v>1337549258.0699999</v>
      </c>
      <c r="C82">
        <v>477958936.94</v>
      </c>
      <c r="D82">
        <v>746980690.03999996</v>
      </c>
      <c r="E82">
        <v>1224939626.98</v>
      </c>
      <c r="F82">
        <v>112609631.09</v>
      </c>
      <c r="G82">
        <v>168111818.47</v>
      </c>
      <c r="H82">
        <v>168111818.47</v>
      </c>
      <c r="I82">
        <v>1980984</v>
      </c>
      <c r="J82">
        <v>170092802.47</v>
      </c>
      <c r="K82">
        <v>-1980984</v>
      </c>
      <c r="L82">
        <v>1169437439.5999999</v>
      </c>
      <c r="M82">
        <v>309847118.47000003</v>
      </c>
      <c r="N82">
        <v>699373811.75999999</v>
      </c>
      <c r="O82">
        <v>1009220930.23</v>
      </c>
      <c r="P82">
        <v>160216509.37</v>
      </c>
      <c r="Q82">
        <v>0</v>
      </c>
      <c r="R82">
        <v>0</v>
      </c>
      <c r="S82">
        <v>45625894.280000001</v>
      </c>
      <c r="T82">
        <v>45625894.280000001</v>
      </c>
      <c r="U82">
        <v>-45625894.280000001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1337549258.0699999</v>
      </c>
      <c r="AG82">
        <v>477958936.94</v>
      </c>
      <c r="AH82">
        <v>746980690.03999996</v>
      </c>
      <c r="AI82">
        <v>1224939626.98</v>
      </c>
      <c r="AJ82">
        <v>112609631.09</v>
      </c>
      <c r="AK82" t="s">
        <v>249</v>
      </c>
      <c r="AL82" t="s">
        <v>250</v>
      </c>
      <c r="AM82" t="s">
        <v>1306</v>
      </c>
      <c r="AN82">
        <v>2722040616</v>
      </c>
      <c r="AO82">
        <v>477958937</v>
      </c>
      <c r="AP82">
        <v>2244081679</v>
      </c>
      <c r="AQ82">
        <v>82.4</v>
      </c>
      <c r="AR82">
        <v>1701390616</v>
      </c>
      <c r="AS82">
        <v>168111818</v>
      </c>
      <c r="AT82">
        <v>1533278798</v>
      </c>
      <c r="AU82">
        <v>90.1</v>
      </c>
      <c r="AV82">
        <v>1020650000</v>
      </c>
      <c r="AW82">
        <v>309847118</v>
      </c>
      <c r="AX82">
        <v>710802882</v>
      </c>
      <c r="AY82">
        <v>69.599999999999994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2011390616</v>
      </c>
      <c r="BM82">
        <v>477958937</v>
      </c>
      <c r="BN82">
        <v>1533431679</v>
      </c>
      <c r="BO82">
        <v>76.2</v>
      </c>
      <c r="BP82" t="s">
        <v>249</v>
      </c>
    </row>
    <row r="83" spans="1:68" x14ac:dyDescent="0.35">
      <c r="A83" t="s">
        <v>251</v>
      </c>
      <c r="B83">
        <v>618114786.90999997</v>
      </c>
      <c r="C83">
        <v>302550960.86000001</v>
      </c>
      <c r="D83">
        <v>115311257.8</v>
      </c>
      <c r="E83">
        <v>417862218.66000003</v>
      </c>
      <c r="F83">
        <v>200252568.25</v>
      </c>
      <c r="G83">
        <v>168565639.94999999</v>
      </c>
      <c r="H83">
        <v>168565519.43000001</v>
      </c>
      <c r="I83">
        <v>0</v>
      </c>
      <c r="J83">
        <v>168565519.43000001</v>
      </c>
      <c r="K83">
        <v>120.52</v>
      </c>
      <c r="L83">
        <v>449549146.95999998</v>
      </c>
      <c r="M83">
        <v>133985441.43000001</v>
      </c>
      <c r="N83">
        <v>95790368.459999993</v>
      </c>
      <c r="O83">
        <v>229775809.88999999</v>
      </c>
      <c r="P83">
        <v>219773337.06999999</v>
      </c>
      <c r="Q83">
        <v>0</v>
      </c>
      <c r="R83">
        <v>0</v>
      </c>
      <c r="S83">
        <v>19520889.34</v>
      </c>
      <c r="T83">
        <v>19520889.34</v>
      </c>
      <c r="U83">
        <v>-19520889.34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618114786.90999997</v>
      </c>
      <c r="AG83">
        <v>302550960.86000001</v>
      </c>
      <c r="AH83">
        <v>115311257.8</v>
      </c>
      <c r="AI83">
        <v>417862218.66000003</v>
      </c>
      <c r="AJ83">
        <v>200252568.25</v>
      </c>
      <c r="AK83" t="s">
        <v>252</v>
      </c>
      <c r="AL83" t="s">
        <v>253</v>
      </c>
      <c r="AM83" t="s">
        <v>1307</v>
      </c>
      <c r="AN83">
        <v>681116786</v>
      </c>
      <c r="AO83">
        <v>302550961</v>
      </c>
      <c r="AP83">
        <v>378565825</v>
      </c>
      <c r="AQ83">
        <v>55.6</v>
      </c>
      <c r="AR83">
        <v>681116786</v>
      </c>
      <c r="AS83">
        <v>168565519</v>
      </c>
      <c r="AT83">
        <v>512551267</v>
      </c>
      <c r="AU83">
        <v>75.3</v>
      </c>
      <c r="AV83">
        <v>0</v>
      </c>
      <c r="AW83">
        <v>133985441</v>
      </c>
      <c r="AX83">
        <v>-133985441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681116786</v>
      </c>
      <c r="BM83">
        <v>302550961</v>
      </c>
      <c r="BN83">
        <v>378565825</v>
      </c>
      <c r="BO83">
        <v>55.6</v>
      </c>
      <c r="BP83" t="s">
        <v>252</v>
      </c>
    </row>
    <row r="84" spans="1:68" x14ac:dyDescent="0.35">
      <c r="A84" t="s">
        <v>254</v>
      </c>
      <c r="B84">
        <v>133298173.56</v>
      </c>
      <c r="C84">
        <v>44533237.530000001</v>
      </c>
      <c r="D84">
        <v>5569891.2599999998</v>
      </c>
      <c r="E84">
        <v>50103128.789999999</v>
      </c>
      <c r="F84">
        <v>83195044.769999996</v>
      </c>
      <c r="G84">
        <v>44832805.340000004</v>
      </c>
      <c r="H84">
        <v>44533237.530000001</v>
      </c>
      <c r="I84">
        <v>0</v>
      </c>
      <c r="J84">
        <v>44533237.530000001</v>
      </c>
      <c r="K84">
        <v>299567.81</v>
      </c>
      <c r="L84">
        <v>88465368.219999999</v>
      </c>
      <c r="M84">
        <v>0</v>
      </c>
      <c r="N84">
        <v>5569891.2599999998</v>
      </c>
      <c r="O84">
        <v>5569891.2599999998</v>
      </c>
      <c r="P84">
        <v>82895476.959999993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133298173.56</v>
      </c>
      <c r="AG84">
        <v>44533237.530000001</v>
      </c>
      <c r="AH84">
        <v>5569891.2599999998</v>
      </c>
      <c r="AI84">
        <v>50103128.789999999</v>
      </c>
      <c r="AJ84">
        <v>83195044.769999996</v>
      </c>
      <c r="AK84" t="s">
        <v>255</v>
      </c>
      <c r="AL84" t="s">
        <v>256</v>
      </c>
      <c r="AM84" t="s">
        <v>1308</v>
      </c>
      <c r="AN84">
        <v>180527000</v>
      </c>
      <c r="AO84">
        <v>44533238</v>
      </c>
      <c r="AP84">
        <v>135993762</v>
      </c>
      <c r="AQ84">
        <v>75.3</v>
      </c>
      <c r="AR84">
        <v>180527000</v>
      </c>
      <c r="AS84">
        <v>44533238</v>
      </c>
      <c r="AT84">
        <v>135993762</v>
      </c>
      <c r="AU84">
        <v>75.3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176227000</v>
      </c>
      <c r="BM84">
        <v>44533238</v>
      </c>
      <c r="BN84">
        <v>131693762</v>
      </c>
      <c r="BO84">
        <v>74.7</v>
      </c>
      <c r="BP84" t="s">
        <v>255</v>
      </c>
    </row>
    <row r="85" spans="1:68" x14ac:dyDescent="0.35">
      <c r="A85" t="s">
        <v>257</v>
      </c>
      <c r="B85">
        <v>10493522.5</v>
      </c>
      <c r="C85">
        <v>10493522.5</v>
      </c>
      <c r="D85">
        <v>0</v>
      </c>
      <c r="E85">
        <v>10493522.5</v>
      </c>
      <c r="F85">
        <v>0</v>
      </c>
      <c r="G85">
        <v>10493522.5</v>
      </c>
      <c r="H85">
        <v>10493522.5</v>
      </c>
      <c r="I85">
        <v>0</v>
      </c>
      <c r="J85">
        <v>10493522.5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10493522.5</v>
      </c>
      <c r="AG85">
        <v>10493522.5</v>
      </c>
      <c r="AH85">
        <v>0</v>
      </c>
      <c r="AI85">
        <v>10493522.5</v>
      </c>
      <c r="AJ85">
        <v>0</v>
      </c>
      <c r="AK85" t="s">
        <v>258</v>
      </c>
      <c r="AL85" t="s">
        <v>259</v>
      </c>
      <c r="AM85" t="s">
        <v>1309</v>
      </c>
      <c r="AN85">
        <v>0</v>
      </c>
      <c r="AO85">
        <v>10493523</v>
      </c>
      <c r="AP85">
        <v>-10493523</v>
      </c>
      <c r="AQ85">
        <v>0</v>
      </c>
      <c r="AR85">
        <v>0</v>
      </c>
      <c r="AS85">
        <v>10493523</v>
      </c>
      <c r="AT85">
        <v>-10493523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6786213</v>
      </c>
      <c r="BM85">
        <v>10493523</v>
      </c>
      <c r="BN85">
        <v>-3707310</v>
      </c>
      <c r="BO85">
        <v>-54.6</v>
      </c>
      <c r="BP85" t="s">
        <v>258</v>
      </c>
    </row>
    <row r="86" spans="1:68" x14ac:dyDescent="0.35">
      <c r="A86" t="s">
        <v>260</v>
      </c>
      <c r="B86">
        <v>886702724.64999998</v>
      </c>
      <c r="C86">
        <v>130714003.94</v>
      </c>
      <c r="D86">
        <v>322835534.06999999</v>
      </c>
      <c r="E86">
        <v>453549538.00999999</v>
      </c>
      <c r="F86">
        <v>433153186.63999999</v>
      </c>
      <c r="G86">
        <v>43625666.280000001</v>
      </c>
      <c r="H86">
        <v>43625666.280000001</v>
      </c>
      <c r="I86">
        <v>27066537.219999999</v>
      </c>
      <c r="J86">
        <v>70692203.5</v>
      </c>
      <c r="K86">
        <v>-27066537.219999999</v>
      </c>
      <c r="L86">
        <v>843077058.37</v>
      </c>
      <c r="M86">
        <v>87088337.659999996</v>
      </c>
      <c r="N86">
        <v>295768996.85000002</v>
      </c>
      <c r="O86">
        <v>382857334.50999999</v>
      </c>
      <c r="P86">
        <v>460219723.86000001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886702724.64999998</v>
      </c>
      <c r="AG86">
        <v>130714003.94</v>
      </c>
      <c r="AH86">
        <v>322835534.06999999</v>
      </c>
      <c r="AI86">
        <v>453549538.00999999</v>
      </c>
      <c r="AJ86">
        <v>433153186.63999999</v>
      </c>
      <c r="AK86" t="s">
        <v>261</v>
      </c>
      <c r="AL86" t="s">
        <v>262</v>
      </c>
      <c r="AM86" t="s">
        <v>1310</v>
      </c>
      <c r="AN86">
        <v>443062000</v>
      </c>
      <c r="AO86">
        <v>130714004</v>
      </c>
      <c r="AP86">
        <v>312347996</v>
      </c>
      <c r="AQ86">
        <v>70.5</v>
      </c>
      <c r="AR86">
        <v>227005000</v>
      </c>
      <c r="AS86">
        <v>43625666</v>
      </c>
      <c r="AT86">
        <v>183379334</v>
      </c>
      <c r="AU86">
        <v>80.8</v>
      </c>
      <c r="AV86">
        <v>216057000</v>
      </c>
      <c r="AW86">
        <v>87088338</v>
      </c>
      <c r="AX86">
        <v>128968662</v>
      </c>
      <c r="AY86">
        <v>59.7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442062000</v>
      </c>
      <c r="BM86">
        <v>130714004</v>
      </c>
      <c r="BN86">
        <v>311347996</v>
      </c>
      <c r="BO86">
        <v>70.400000000000006</v>
      </c>
      <c r="BP86" t="s">
        <v>261</v>
      </c>
    </row>
    <row r="87" spans="1:68" x14ac:dyDescent="0.35">
      <c r="A87" t="s">
        <v>263</v>
      </c>
      <c r="B87">
        <v>1013390129.0700001</v>
      </c>
      <c r="C87">
        <v>588507464.38999999</v>
      </c>
      <c r="D87">
        <v>329943583.38999999</v>
      </c>
      <c r="E87">
        <v>918451047.77999997</v>
      </c>
      <c r="F87">
        <v>94939081.290000007</v>
      </c>
      <c r="G87">
        <v>482516102.44999999</v>
      </c>
      <c r="H87">
        <v>482516102.44999999</v>
      </c>
      <c r="I87">
        <v>0</v>
      </c>
      <c r="J87">
        <v>482516102.44999999</v>
      </c>
      <c r="K87">
        <v>0</v>
      </c>
      <c r="L87">
        <v>530874026.62</v>
      </c>
      <c r="M87">
        <v>105991361.94</v>
      </c>
      <c r="N87">
        <v>329943583.38999999</v>
      </c>
      <c r="O87">
        <v>435934945.32999998</v>
      </c>
      <c r="P87">
        <v>94939081.290000007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1013390129.0700001</v>
      </c>
      <c r="AG87">
        <v>588507464.38999999</v>
      </c>
      <c r="AH87">
        <v>329943583.38999999</v>
      </c>
      <c r="AI87">
        <v>918451047.77999997</v>
      </c>
      <c r="AJ87">
        <v>94939081.290000007</v>
      </c>
      <c r="AK87" t="s">
        <v>264</v>
      </c>
      <c r="AL87" t="s">
        <v>265</v>
      </c>
      <c r="AM87" t="s">
        <v>1311</v>
      </c>
      <c r="AN87">
        <v>1535600000</v>
      </c>
      <c r="AO87">
        <v>588507464</v>
      </c>
      <c r="AP87">
        <v>947092536</v>
      </c>
      <c r="AQ87">
        <v>61.7</v>
      </c>
      <c r="AR87">
        <v>1356600000</v>
      </c>
      <c r="AS87">
        <v>482516102</v>
      </c>
      <c r="AT87">
        <v>874083898</v>
      </c>
      <c r="AU87">
        <v>64.400000000000006</v>
      </c>
      <c r="AV87">
        <v>179000000</v>
      </c>
      <c r="AW87">
        <v>105991362</v>
      </c>
      <c r="AX87">
        <v>73008638</v>
      </c>
      <c r="AY87">
        <v>40.799999999999997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1566600000</v>
      </c>
      <c r="BM87">
        <v>588507464</v>
      </c>
      <c r="BN87">
        <v>978092536</v>
      </c>
      <c r="BO87">
        <v>62.4</v>
      </c>
      <c r="BP87" t="s">
        <v>264</v>
      </c>
    </row>
    <row r="88" spans="1:68" x14ac:dyDescent="0.35">
      <c r="A88" t="s">
        <v>266</v>
      </c>
      <c r="B88">
        <v>14036299.4</v>
      </c>
      <c r="C88">
        <v>10219233.26</v>
      </c>
      <c r="D88">
        <v>215900</v>
      </c>
      <c r="E88">
        <v>10435133.26</v>
      </c>
      <c r="F88">
        <v>3601166.14</v>
      </c>
      <c r="G88">
        <v>10219233.26</v>
      </c>
      <c r="H88">
        <v>10219233.26</v>
      </c>
      <c r="I88">
        <v>0</v>
      </c>
      <c r="J88">
        <v>10219233.26</v>
      </c>
      <c r="K88">
        <v>0</v>
      </c>
      <c r="L88">
        <v>3817066.14</v>
      </c>
      <c r="M88">
        <v>0</v>
      </c>
      <c r="N88">
        <v>215900</v>
      </c>
      <c r="O88">
        <v>215900</v>
      </c>
      <c r="P88">
        <v>3601166.14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14036299.4</v>
      </c>
      <c r="AG88">
        <v>10219233.26</v>
      </c>
      <c r="AH88">
        <v>215900</v>
      </c>
      <c r="AI88">
        <v>10435133.26</v>
      </c>
      <c r="AJ88">
        <v>3601166.14</v>
      </c>
      <c r="AK88" t="s">
        <v>267</v>
      </c>
      <c r="AL88" t="s">
        <v>268</v>
      </c>
      <c r="AM88" t="s">
        <v>1312</v>
      </c>
      <c r="AN88">
        <v>16180000</v>
      </c>
      <c r="AO88">
        <v>10219233</v>
      </c>
      <c r="AP88">
        <v>5960767</v>
      </c>
      <c r="AQ88">
        <v>36.799999999999997</v>
      </c>
      <c r="AR88">
        <v>16180000</v>
      </c>
      <c r="AS88">
        <v>10219233</v>
      </c>
      <c r="AT88">
        <v>5960767</v>
      </c>
      <c r="AU88">
        <v>36.799999999999997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16180000</v>
      </c>
      <c r="BM88">
        <v>10219233</v>
      </c>
      <c r="BN88">
        <v>5960767</v>
      </c>
      <c r="BO88">
        <v>36.799999999999997</v>
      </c>
      <c r="BP88" t="s">
        <v>267</v>
      </c>
    </row>
    <row r="89" spans="1:68" x14ac:dyDescent="0.35">
      <c r="A89" t="s">
        <v>269</v>
      </c>
      <c r="B89">
        <v>25642573.379999999</v>
      </c>
      <c r="C89">
        <v>14376988.279999999</v>
      </c>
      <c r="D89">
        <v>5575827.29</v>
      </c>
      <c r="E89">
        <v>19952815.57</v>
      </c>
      <c r="F89">
        <v>5689757.8099999996</v>
      </c>
      <c r="G89">
        <v>12486301.33</v>
      </c>
      <c r="H89">
        <v>12486301.34</v>
      </c>
      <c r="I89">
        <v>970000</v>
      </c>
      <c r="J89">
        <v>13456301.34</v>
      </c>
      <c r="K89">
        <v>-970000.01</v>
      </c>
      <c r="L89">
        <v>13156272.050000001</v>
      </c>
      <c r="M89">
        <v>1890686.94</v>
      </c>
      <c r="N89">
        <v>4388027.2699999996</v>
      </c>
      <c r="O89">
        <v>6278714.21</v>
      </c>
      <c r="P89">
        <v>6877557.8399999999</v>
      </c>
      <c r="Q89">
        <v>0</v>
      </c>
      <c r="R89">
        <v>0</v>
      </c>
      <c r="S89">
        <v>217800.02</v>
      </c>
      <c r="T89">
        <v>217800.02</v>
      </c>
      <c r="U89">
        <v>-217800.02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25642573.379999999</v>
      </c>
      <c r="AG89">
        <v>14376988.279999999</v>
      </c>
      <c r="AH89">
        <v>5575827.29</v>
      </c>
      <c r="AI89">
        <v>19952815.57</v>
      </c>
      <c r="AJ89">
        <v>5689757.8099999996</v>
      </c>
      <c r="AK89" t="s">
        <v>270</v>
      </c>
      <c r="AL89" t="s">
        <v>271</v>
      </c>
      <c r="AM89" t="s">
        <v>1313</v>
      </c>
      <c r="AN89">
        <v>94100006</v>
      </c>
      <c r="AO89">
        <v>14376988</v>
      </c>
      <c r="AP89">
        <v>79723018</v>
      </c>
      <c r="AQ89">
        <v>84.7</v>
      </c>
      <c r="AR89">
        <v>94100006</v>
      </c>
      <c r="AS89">
        <v>12486301</v>
      </c>
      <c r="AT89">
        <v>81613705</v>
      </c>
      <c r="AU89">
        <v>86.7</v>
      </c>
      <c r="AV89">
        <v>0</v>
      </c>
      <c r="AW89">
        <v>1890687</v>
      </c>
      <c r="AX89">
        <v>-1890687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94100000</v>
      </c>
      <c r="BM89">
        <v>14376988</v>
      </c>
      <c r="BN89">
        <v>79723012</v>
      </c>
      <c r="BO89">
        <v>84.7</v>
      </c>
      <c r="BP89" t="s">
        <v>270</v>
      </c>
    </row>
    <row r="90" spans="1:68" x14ac:dyDescent="0.35">
      <c r="A90" t="s">
        <v>272</v>
      </c>
      <c r="B90">
        <v>6869461119.7299995</v>
      </c>
      <c r="C90">
        <v>2663229780.04</v>
      </c>
      <c r="D90">
        <v>2526236689.71</v>
      </c>
      <c r="E90">
        <v>5189477190.7399998</v>
      </c>
      <c r="F90">
        <v>1679983928.99</v>
      </c>
      <c r="G90">
        <v>1918756322.8399999</v>
      </c>
      <c r="H90">
        <v>1916246637.51</v>
      </c>
      <c r="I90">
        <v>19297710.969999999</v>
      </c>
      <c r="J90">
        <v>1935555069.47</v>
      </c>
      <c r="K90">
        <v>-16798746.629999999</v>
      </c>
      <c r="L90">
        <v>4950704796.8900003</v>
      </c>
      <c r="M90">
        <v>746983142.52999997</v>
      </c>
      <c r="N90">
        <v>2248465466.5799999</v>
      </c>
      <c r="O90">
        <v>2995448609.1100001</v>
      </c>
      <c r="P90">
        <v>1955256187.78</v>
      </c>
      <c r="Q90">
        <v>0</v>
      </c>
      <c r="R90">
        <v>0</v>
      </c>
      <c r="S90">
        <v>251814502.15000001</v>
      </c>
      <c r="T90">
        <v>251814502.15000001</v>
      </c>
      <c r="U90">
        <v>-251814502.15000001</v>
      </c>
      <c r="V90">
        <v>0</v>
      </c>
      <c r="W90">
        <v>0</v>
      </c>
      <c r="X90">
        <v>6659010.0099999998</v>
      </c>
      <c r="Y90">
        <v>6659010.0099999998</v>
      </c>
      <c r="Z90">
        <v>-6659010.0099999998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6869461119.7299995</v>
      </c>
      <c r="AG90">
        <v>2663229780.04</v>
      </c>
      <c r="AH90">
        <v>2526236689.71</v>
      </c>
      <c r="AI90">
        <v>5189477190.7399998</v>
      </c>
      <c r="AJ90">
        <v>1679983928.99</v>
      </c>
      <c r="AK90" t="s">
        <v>273</v>
      </c>
      <c r="AL90" t="s">
        <v>274</v>
      </c>
      <c r="AM90" t="s">
        <v>1314</v>
      </c>
      <c r="AN90">
        <v>2855912771</v>
      </c>
      <c r="AO90">
        <v>2663229780</v>
      </c>
      <c r="AP90">
        <v>192682991</v>
      </c>
      <c r="AQ90">
        <v>6.7</v>
      </c>
      <c r="AR90">
        <v>0</v>
      </c>
      <c r="AS90">
        <v>1916246638</v>
      </c>
      <c r="AT90">
        <v>-1916246638</v>
      </c>
      <c r="AU90">
        <v>0</v>
      </c>
      <c r="AV90">
        <v>2855912771</v>
      </c>
      <c r="AW90">
        <v>746983143</v>
      </c>
      <c r="AX90">
        <v>2108929628</v>
      </c>
      <c r="AY90">
        <v>73.8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2855912771</v>
      </c>
      <c r="BM90">
        <v>2663229780</v>
      </c>
      <c r="BN90">
        <v>192682991</v>
      </c>
      <c r="BO90">
        <v>6.7</v>
      </c>
      <c r="BP90" t="s">
        <v>273</v>
      </c>
    </row>
    <row r="91" spans="1:68" x14ac:dyDescent="0.35">
      <c r="A91" t="s">
        <v>275</v>
      </c>
      <c r="B91">
        <v>9569117.9499999993</v>
      </c>
      <c r="C91">
        <v>7388063.8499999996</v>
      </c>
      <c r="D91">
        <v>26655.84</v>
      </c>
      <c r="E91">
        <v>7414719.6900000004</v>
      </c>
      <c r="F91">
        <v>2154398.2599999998</v>
      </c>
      <c r="G91">
        <v>7388063.8499999996</v>
      </c>
      <c r="H91">
        <v>7388063.8499999996</v>
      </c>
      <c r="I91">
        <v>0</v>
      </c>
      <c r="J91">
        <v>7388063.8499999996</v>
      </c>
      <c r="K91">
        <v>0</v>
      </c>
      <c r="L91">
        <v>2181054.1</v>
      </c>
      <c r="M91">
        <v>0</v>
      </c>
      <c r="N91">
        <v>26655.84</v>
      </c>
      <c r="O91">
        <v>26655.84</v>
      </c>
      <c r="P91">
        <v>2154398.2599999998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9569117.9499999993</v>
      </c>
      <c r="AG91">
        <v>7388063.8499999996</v>
      </c>
      <c r="AH91">
        <v>26655.84</v>
      </c>
      <c r="AI91">
        <v>7414719.6900000004</v>
      </c>
      <c r="AJ91">
        <v>2154398.2599999998</v>
      </c>
      <c r="AK91" t="s">
        <v>276</v>
      </c>
      <c r="AL91" t="s">
        <v>277</v>
      </c>
      <c r="AM91" t="s">
        <v>1315</v>
      </c>
      <c r="AN91">
        <v>1174432</v>
      </c>
      <c r="AO91">
        <v>7388064</v>
      </c>
      <c r="AP91">
        <v>-6213632</v>
      </c>
      <c r="AQ91">
        <v>-529.1</v>
      </c>
      <c r="AR91">
        <v>1174432</v>
      </c>
      <c r="AS91">
        <v>7388064</v>
      </c>
      <c r="AT91">
        <v>-6213632</v>
      </c>
      <c r="AU91">
        <v>-529.1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1174432</v>
      </c>
      <c r="BM91">
        <v>7388064</v>
      </c>
      <c r="BN91">
        <v>-6213632</v>
      </c>
      <c r="BO91">
        <v>-529.1</v>
      </c>
      <c r="BP91" t="s">
        <v>276</v>
      </c>
    </row>
    <row r="92" spans="1:68" x14ac:dyDescent="0.35">
      <c r="A92" t="s">
        <v>278</v>
      </c>
      <c r="B92">
        <v>0</v>
      </c>
      <c r="C92">
        <v>0</v>
      </c>
      <c r="D92">
        <v>0</v>
      </c>
      <c r="E92">
        <v>1022012.5</v>
      </c>
      <c r="F92">
        <v>-1022012.5</v>
      </c>
      <c r="G92">
        <v>0</v>
      </c>
      <c r="H92">
        <v>0</v>
      </c>
      <c r="I92">
        <v>0</v>
      </c>
      <c r="J92">
        <v>1022012.5</v>
      </c>
      <c r="K92">
        <v>-1022012.5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1022012.5</v>
      </c>
      <c r="AJ92">
        <v>-1022012.5</v>
      </c>
      <c r="AK92" t="s">
        <v>279</v>
      </c>
      <c r="AL92" t="s">
        <v>280</v>
      </c>
      <c r="AM92" t="s">
        <v>1316</v>
      </c>
      <c r="AN92">
        <v>1022013</v>
      </c>
      <c r="AO92">
        <v>0</v>
      </c>
      <c r="AP92">
        <v>1022013</v>
      </c>
      <c r="AQ92">
        <v>100</v>
      </c>
      <c r="AR92">
        <v>1022013</v>
      </c>
      <c r="AS92">
        <v>0</v>
      </c>
      <c r="AT92">
        <v>1022013</v>
      </c>
      <c r="AU92">
        <v>100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1022013</v>
      </c>
      <c r="BM92">
        <v>0</v>
      </c>
      <c r="BN92">
        <v>1022013</v>
      </c>
      <c r="BO92">
        <v>100</v>
      </c>
      <c r="BP92" t="s">
        <v>279</v>
      </c>
    </row>
    <row r="93" spans="1:68" x14ac:dyDescent="0.35">
      <c r="A93" t="s">
        <v>281</v>
      </c>
      <c r="B93">
        <v>1009817000</v>
      </c>
      <c r="C93">
        <v>746488353.22000003</v>
      </c>
      <c r="D93">
        <v>0</v>
      </c>
      <c r="E93">
        <v>746488353.22000003</v>
      </c>
      <c r="F93">
        <v>263328646.78</v>
      </c>
      <c r="G93">
        <v>1009817000</v>
      </c>
      <c r="H93">
        <v>746959873.22000003</v>
      </c>
      <c r="I93">
        <v>0</v>
      </c>
      <c r="J93">
        <v>746959873.22000003</v>
      </c>
      <c r="K93">
        <v>262857126.78</v>
      </c>
      <c r="L93">
        <v>0</v>
      </c>
      <c r="M93">
        <v>-471520</v>
      </c>
      <c r="N93">
        <v>0</v>
      </c>
      <c r="O93">
        <v>-471520</v>
      </c>
      <c r="P93">
        <v>471520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1009817000</v>
      </c>
      <c r="AG93">
        <v>746488353.22000003</v>
      </c>
      <c r="AH93">
        <v>0</v>
      </c>
      <c r="AI93">
        <v>746488353.22000003</v>
      </c>
      <c r="AJ93">
        <v>263328646.78</v>
      </c>
      <c r="AK93" t="s">
        <v>282</v>
      </c>
      <c r="AL93" t="s">
        <v>283</v>
      </c>
      <c r="AM93" t="s">
        <v>1317</v>
      </c>
      <c r="AN93">
        <v>0</v>
      </c>
      <c r="AO93">
        <v>746488353</v>
      </c>
      <c r="AP93">
        <v>-746488353</v>
      </c>
      <c r="AQ93">
        <v>0</v>
      </c>
      <c r="AR93">
        <v>0</v>
      </c>
      <c r="AS93">
        <v>746959873</v>
      </c>
      <c r="AT93">
        <v>-746959873</v>
      </c>
      <c r="AU93">
        <v>0</v>
      </c>
      <c r="AV93">
        <v>0</v>
      </c>
      <c r="AW93">
        <v>-471520</v>
      </c>
      <c r="AX93">
        <v>471520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746488353</v>
      </c>
      <c r="BN93">
        <v>-746488353</v>
      </c>
      <c r="BO93">
        <v>0</v>
      </c>
      <c r="BP93" t="s">
        <v>282</v>
      </c>
    </row>
    <row r="94" spans="1:68" x14ac:dyDescent="0.35">
      <c r="A94" t="s">
        <v>284</v>
      </c>
      <c r="B94">
        <v>250000000</v>
      </c>
      <c r="C94">
        <v>4403986.96</v>
      </c>
      <c r="D94">
        <v>204157.51</v>
      </c>
      <c r="E94">
        <v>4608144.47</v>
      </c>
      <c r="F94">
        <v>245391855.53</v>
      </c>
      <c r="G94">
        <v>250000000</v>
      </c>
      <c r="H94">
        <v>4403986.96</v>
      </c>
      <c r="I94">
        <v>204157.51</v>
      </c>
      <c r="J94">
        <v>4608144.47</v>
      </c>
      <c r="K94">
        <v>245391855.53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250000000</v>
      </c>
      <c r="AG94">
        <v>4403986.96</v>
      </c>
      <c r="AH94">
        <v>204157.51</v>
      </c>
      <c r="AI94">
        <v>4608144.47</v>
      </c>
      <c r="AJ94">
        <v>245391855.53</v>
      </c>
      <c r="AK94" t="s">
        <v>285</v>
      </c>
      <c r="AL94" t="s">
        <v>286</v>
      </c>
      <c r="AM94" t="s">
        <v>1318</v>
      </c>
      <c r="AN94">
        <v>7404000</v>
      </c>
      <c r="AO94">
        <v>4403987</v>
      </c>
      <c r="AP94">
        <v>3000013</v>
      </c>
      <c r="AQ94">
        <v>40.5</v>
      </c>
      <c r="AR94">
        <v>7404000</v>
      </c>
      <c r="AS94">
        <v>4403987</v>
      </c>
      <c r="AT94">
        <v>3000013</v>
      </c>
      <c r="AU94">
        <v>40.5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250000000</v>
      </c>
      <c r="BM94">
        <v>4403987</v>
      </c>
      <c r="BN94">
        <v>245596013</v>
      </c>
      <c r="BO94">
        <v>98.2</v>
      </c>
      <c r="BP94" t="s">
        <v>285</v>
      </c>
    </row>
    <row r="95" spans="1:68" x14ac:dyDescent="0.35">
      <c r="A95" t="s">
        <v>287</v>
      </c>
      <c r="B95">
        <v>20765115.43</v>
      </c>
      <c r="C95">
        <v>20400124.16</v>
      </c>
      <c r="D95">
        <v>365115.43</v>
      </c>
      <c r="E95">
        <v>20765239.59</v>
      </c>
      <c r="F95">
        <v>-124.16</v>
      </c>
      <c r="G95">
        <v>20765115.43</v>
      </c>
      <c r="H95">
        <v>20400124.16</v>
      </c>
      <c r="I95">
        <v>365115.43</v>
      </c>
      <c r="J95">
        <v>20765239.59</v>
      </c>
      <c r="K95">
        <v>-124.16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20765115.43</v>
      </c>
      <c r="AG95">
        <v>20400124.16</v>
      </c>
      <c r="AH95">
        <v>365115.43</v>
      </c>
      <c r="AI95">
        <v>20765239.59</v>
      </c>
      <c r="AJ95">
        <v>-124.16</v>
      </c>
      <c r="AK95" t="s">
        <v>288</v>
      </c>
      <c r="AL95" t="s">
        <v>289</v>
      </c>
      <c r="AM95" t="s">
        <v>1319</v>
      </c>
      <c r="AN95">
        <v>4500000</v>
      </c>
      <c r="AO95">
        <v>20400124</v>
      </c>
      <c r="AP95">
        <v>-15900124</v>
      </c>
      <c r="AQ95">
        <v>-353.3</v>
      </c>
      <c r="AR95">
        <v>4500000</v>
      </c>
      <c r="AS95">
        <v>20400124</v>
      </c>
      <c r="AT95">
        <v>-15900124</v>
      </c>
      <c r="AU95">
        <v>-353.3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4500000</v>
      </c>
      <c r="BM95">
        <v>20400124</v>
      </c>
      <c r="BN95">
        <v>-15900124</v>
      </c>
      <c r="BO95">
        <v>-353.3</v>
      </c>
      <c r="BP95" t="s">
        <v>288</v>
      </c>
    </row>
    <row r="96" spans="1:68" x14ac:dyDescent="0.35">
      <c r="A96" t="s">
        <v>290</v>
      </c>
      <c r="B96">
        <v>1000000</v>
      </c>
      <c r="C96">
        <v>0</v>
      </c>
      <c r="D96">
        <v>0</v>
      </c>
      <c r="E96">
        <v>0</v>
      </c>
      <c r="F96">
        <v>1000000</v>
      </c>
      <c r="G96">
        <v>1000000</v>
      </c>
      <c r="H96">
        <v>0</v>
      </c>
      <c r="I96">
        <v>0</v>
      </c>
      <c r="J96">
        <v>0</v>
      </c>
      <c r="K96">
        <v>1000000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2000000</v>
      </c>
      <c r="AG96">
        <v>0</v>
      </c>
      <c r="AH96">
        <v>0</v>
      </c>
      <c r="AI96">
        <v>0</v>
      </c>
      <c r="AJ96">
        <v>2000000</v>
      </c>
      <c r="AK96" t="s">
        <v>291</v>
      </c>
      <c r="AL96" t="s">
        <v>292</v>
      </c>
    </row>
    <row r="97" spans="1:68" x14ac:dyDescent="0.35">
      <c r="A97" t="s">
        <v>293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">
        <v>294</v>
      </c>
      <c r="AL97" t="s">
        <v>295</v>
      </c>
      <c r="AM97" t="s">
        <v>1320</v>
      </c>
      <c r="AN97">
        <v>1040646</v>
      </c>
      <c r="AO97">
        <v>0</v>
      </c>
      <c r="AP97">
        <v>1040646</v>
      </c>
      <c r="AQ97">
        <v>100</v>
      </c>
      <c r="AR97">
        <v>1040646</v>
      </c>
      <c r="AS97">
        <v>0</v>
      </c>
      <c r="AT97">
        <v>1040646</v>
      </c>
      <c r="AU97">
        <v>100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1040646</v>
      </c>
      <c r="BM97">
        <v>0</v>
      </c>
      <c r="BN97">
        <v>1040646</v>
      </c>
      <c r="BO97">
        <v>100</v>
      </c>
      <c r="BP97" t="s">
        <v>294</v>
      </c>
    </row>
    <row r="98" spans="1:68" x14ac:dyDescent="0.35">
      <c r="A98" t="s">
        <v>296</v>
      </c>
      <c r="B98">
        <v>31000000</v>
      </c>
      <c r="C98">
        <v>27980750.530000001</v>
      </c>
      <c r="D98">
        <v>2082089.96</v>
      </c>
      <c r="E98">
        <v>30062840.489999998</v>
      </c>
      <c r="F98">
        <v>937159.51</v>
      </c>
      <c r="G98">
        <v>31000000</v>
      </c>
      <c r="H98">
        <v>27980750.530000001</v>
      </c>
      <c r="I98">
        <v>2082089.96</v>
      </c>
      <c r="J98">
        <v>30062840.489999998</v>
      </c>
      <c r="K98">
        <v>937159.51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31000000</v>
      </c>
      <c r="AG98">
        <v>27980750.530000001</v>
      </c>
      <c r="AH98">
        <v>2082089.96</v>
      </c>
      <c r="AI98">
        <v>30062840.489999998</v>
      </c>
      <c r="AJ98">
        <v>937159.51</v>
      </c>
      <c r="AK98" t="s">
        <v>297</v>
      </c>
      <c r="AL98" t="s">
        <v>298</v>
      </c>
      <c r="AM98" t="s">
        <v>1321</v>
      </c>
      <c r="AN98">
        <v>0</v>
      </c>
      <c r="AO98">
        <v>27980751</v>
      </c>
      <c r="AP98">
        <v>-27980751</v>
      </c>
      <c r="AQ98">
        <v>0</v>
      </c>
      <c r="AR98">
        <v>0</v>
      </c>
      <c r="AS98">
        <v>27980751</v>
      </c>
      <c r="AT98">
        <v>-27980751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27980751</v>
      </c>
      <c r="BN98">
        <v>-27980751</v>
      </c>
      <c r="BO98">
        <v>0</v>
      </c>
      <c r="BP98" t="s">
        <v>297</v>
      </c>
    </row>
    <row r="99" spans="1:68" x14ac:dyDescent="0.35">
      <c r="A99" t="s">
        <v>299</v>
      </c>
      <c r="B99">
        <v>47320000</v>
      </c>
      <c r="C99">
        <v>44806785.32</v>
      </c>
      <c r="D99">
        <v>1577826.81</v>
      </c>
      <c r="E99">
        <v>46384612.130000003</v>
      </c>
      <c r="F99">
        <v>935387.87</v>
      </c>
      <c r="G99">
        <v>47320000</v>
      </c>
      <c r="H99">
        <v>44806785.32</v>
      </c>
      <c r="I99">
        <v>1577826.81</v>
      </c>
      <c r="J99">
        <v>46384612.130000003</v>
      </c>
      <c r="K99">
        <v>935387.87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47320000</v>
      </c>
      <c r="AG99">
        <v>44806785.32</v>
      </c>
      <c r="AH99">
        <v>1577826.81</v>
      </c>
      <c r="AI99">
        <v>46384612.130000003</v>
      </c>
      <c r="AJ99">
        <v>935387.87</v>
      </c>
      <c r="AK99" t="s">
        <v>300</v>
      </c>
      <c r="AL99" t="s">
        <v>301</v>
      </c>
      <c r="AM99" t="s">
        <v>1322</v>
      </c>
      <c r="AN99">
        <v>0</v>
      </c>
      <c r="AO99">
        <v>44806785</v>
      </c>
      <c r="AP99">
        <v>-44806785</v>
      </c>
      <c r="AQ99">
        <v>0</v>
      </c>
      <c r="AR99">
        <v>0</v>
      </c>
      <c r="AS99">
        <v>44806785</v>
      </c>
      <c r="AT99">
        <v>-44806785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44806785</v>
      </c>
      <c r="BN99">
        <v>-44806785</v>
      </c>
      <c r="BO99">
        <v>0</v>
      </c>
      <c r="BP99" t="s">
        <v>300</v>
      </c>
    </row>
    <row r="100" spans="1:68" x14ac:dyDescent="0.35">
      <c r="A100" t="s">
        <v>302</v>
      </c>
      <c r="B100">
        <v>42020000</v>
      </c>
      <c r="C100">
        <v>38576717.950000003</v>
      </c>
      <c r="D100">
        <v>1885287.17</v>
      </c>
      <c r="E100">
        <v>40462005.119999997</v>
      </c>
      <c r="F100">
        <v>1557994.88</v>
      </c>
      <c r="G100">
        <v>42020000</v>
      </c>
      <c r="H100">
        <v>38576717.950000003</v>
      </c>
      <c r="I100">
        <v>1885287.17</v>
      </c>
      <c r="J100">
        <v>40462005.119999997</v>
      </c>
      <c r="K100">
        <v>1557994.88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42020000</v>
      </c>
      <c r="AG100">
        <v>38576717.950000003</v>
      </c>
      <c r="AH100">
        <v>1885287.17</v>
      </c>
      <c r="AI100">
        <v>40462005.119999997</v>
      </c>
      <c r="AJ100">
        <v>1557994.88</v>
      </c>
      <c r="AK100" t="s">
        <v>303</v>
      </c>
      <c r="AL100" t="s">
        <v>304</v>
      </c>
      <c r="AM100" t="s">
        <v>1323</v>
      </c>
      <c r="AN100">
        <v>0</v>
      </c>
      <c r="AO100">
        <v>38576718</v>
      </c>
      <c r="AP100">
        <v>-38576718</v>
      </c>
      <c r="AQ100">
        <v>0</v>
      </c>
      <c r="AR100">
        <v>0</v>
      </c>
      <c r="AS100">
        <v>38576718</v>
      </c>
      <c r="AT100">
        <v>-38576718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38576718</v>
      </c>
      <c r="BN100">
        <v>-38576718</v>
      </c>
      <c r="BO100">
        <v>0</v>
      </c>
      <c r="BP100" t="s">
        <v>303</v>
      </c>
    </row>
    <row r="101" spans="1:68" x14ac:dyDescent="0.35">
      <c r="A101" t="s">
        <v>305</v>
      </c>
      <c r="B101">
        <v>7120000</v>
      </c>
      <c r="C101">
        <v>2256610.19</v>
      </c>
      <c r="D101">
        <v>3509135.59</v>
      </c>
      <c r="E101">
        <v>5765745.7800000003</v>
      </c>
      <c r="F101">
        <v>1354254.22</v>
      </c>
      <c r="G101">
        <v>7120000</v>
      </c>
      <c r="H101">
        <v>2256610.19</v>
      </c>
      <c r="I101">
        <v>3509135.59</v>
      </c>
      <c r="J101">
        <v>5765745.7800000003</v>
      </c>
      <c r="K101">
        <v>1354254.22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7120000</v>
      </c>
      <c r="AG101">
        <v>2256610.19</v>
      </c>
      <c r="AH101">
        <v>3509135.59</v>
      </c>
      <c r="AI101">
        <v>5765745.7800000003</v>
      </c>
      <c r="AJ101">
        <v>1354254.22</v>
      </c>
      <c r="AK101" t="s">
        <v>306</v>
      </c>
      <c r="AL101" t="s">
        <v>307</v>
      </c>
      <c r="AM101" t="s">
        <v>1324</v>
      </c>
      <c r="AN101">
        <v>0</v>
      </c>
      <c r="AO101">
        <v>2256610</v>
      </c>
      <c r="AP101">
        <v>-2256610</v>
      </c>
      <c r="AQ101">
        <v>0</v>
      </c>
      <c r="AR101">
        <v>0</v>
      </c>
      <c r="AS101">
        <v>2256610</v>
      </c>
      <c r="AT101">
        <v>-2256610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2256610</v>
      </c>
      <c r="BN101">
        <v>-2256610</v>
      </c>
      <c r="BO101">
        <v>0</v>
      </c>
      <c r="BP101" t="s">
        <v>306</v>
      </c>
    </row>
    <row r="102" spans="1:68" x14ac:dyDescent="0.35">
      <c r="A102" t="s">
        <v>308</v>
      </c>
      <c r="B102">
        <v>28000000</v>
      </c>
      <c r="C102">
        <v>21802057.16</v>
      </c>
      <c r="D102">
        <v>0</v>
      </c>
      <c r="E102">
        <v>21802057.16</v>
      </c>
      <c r="F102">
        <v>6197942.8399999999</v>
      </c>
      <c r="G102">
        <v>28000000</v>
      </c>
      <c r="H102">
        <v>21802057.16</v>
      </c>
      <c r="I102">
        <v>0</v>
      </c>
      <c r="J102">
        <v>21802057.16</v>
      </c>
      <c r="K102">
        <v>6197942.8399999999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28000000</v>
      </c>
      <c r="AG102">
        <v>21802057.16</v>
      </c>
      <c r="AH102">
        <v>0</v>
      </c>
      <c r="AI102">
        <v>21802057.16</v>
      </c>
      <c r="AJ102">
        <v>6197942.8399999999</v>
      </c>
      <c r="AK102" t="s">
        <v>309</v>
      </c>
      <c r="AL102" t="s">
        <v>310</v>
      </c>
      <c r="AM102" t="s">
        <v>1325</v>
      </c>
      <c r="AN102">
        <v>0</v>
      </c>
      <c r="AO102">
        <v>21802057</v>
      </c>
      <c r="AP102">
        <v>-21802057</v>
      </c>
      <c r="AQ102">
        <v>0</v>
      </c>
      <c r="AR102">
        <v>0</v>
      </c>
      <c r="AS102">
        <v>21802057</v>
      </c>
      <c r="AT102">
        <v>-21802057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21802057</v>
      </c>
      <c r="BN102">
        <v>-21802057</v>
      </c>
      <c r="BO102">
        <v>0</v>
      </c>
      <c r="BP102" t="s">
        <v>309</v>
      </c>
    </row>
    <row r="103" spans="1:68" x14ac:dyDescent="0.35">
      <c r="A103" t="s">
        <v>311</v>
      </c>
      <c r="B103">
        <v>14000000</v>
      </c>
      <c r="C103">
        <v>10812883</v>
      </c>
      <c r="D103">
        <v>0</v>
      </c>
      <c r="E103">
        <v>10812883</v>
      </c>
      <c r="F103">
        <v>3187117</v>
      </c>
      <c r="G103">
        <v>14000000</v>
      </c>
      <c r="H103">
        <v>10812883</v>
      </c>
      <c r="I103">
        <v>0</v>
      </c>
      <c r="J103">
        <v>10812883</v>
      </c>
      <c r="K103">
        <v>3187117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14000000</v>
      </c>
      <c r="AG103">
        <v>10812883</v>
      </c>
      <c r="AH103">
        <v>0</v>
      </c>
      <c r="AI103">
        <v>10812883</v>
      </c>
      <c r="AJ103">
        <v>3187117</v>
      </c>
      <c r="AK103" t="s">
        <v>309</v>
      </c>
      <c r="AL103" t="s">
        <v>312</v>
      </c>
      <c r="AM103" t="s">
        <v>1326</v>
      </c>
      <c r="AN103">
        <v>0</v>
      </c>
      <c r="AO103">
        <v>10812883</v>
      </c>
      <c r="AP103">
        <v>-10812883</v>
      </c>
      <c r="AQ103">
        <v>0</v>
      </c>
      <c r="AR103">
        <v>0</v>
      </c>
      <c r="AS103">
        <v>10812883</v>
      </c>
      <c r="AT103">
        <v>-10812883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10812883</v>
      </c>
      <c r="BN103">
        <v>-10812883</v>
      </c>
      <c r="BO103">
        <v>0</v>
      </c>
      <c r="BP103" t="s">
        <v>309</v>
      </c>
    </row>
    <row r="104" spans="1:68" x14ac:dyDescent="0.35">
      <c r="A104" t="s">
        <v>313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309</v>
      </c>
      <c r="AL104" t="s">
        <v>314</v>
      </c>
    </row>
    <row r="105" spans="1:68" x14ac:dyDescent="0.35">
      <c r="A105" t="s">
        <v>315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s">
        <v>316</v>
      </c>
      <c r="AL105" t="s">
        <v>317</v>
      </c>
    </row>
    <row r="106" spans="1:68" x14ac:dyDescent="0.35">
      <c r="A106" t="s">
        <v>318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319</v>
      </c>
      <c r="AL106" t="s">
        <v>320</v>
      </c>
    </row>
    <row r="107" spans="1:68" x14ac:dyDescent="0.35">
      <c r="A107" t="s">
        <v>321</v>
      </c>
      <c r="B107">
        <v>5904000</v>
      </c>
      <c r="C107">
        <v>5833542.4900000002</v>
      </c>
      <c r="D107">
        <v>0</v>
      </c>
      <c r="E107">
        <v>5833542.4900000002</v>
      </c>
      <c r="F107">
        <v>70457.509999999995</v>
      </c>
      <c r="G107">
        <v>5904000</v>
      </c>
      <c r="H107">
        <v>5833542.4900000002</v>
      </c>
      <c r="I107">
        <v>0</v>
      </c>
      <c r="J107">
        <v>5833542.4900000002</v>
      </c>
      <c r="K107">
        <v>70457.509999999995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5904000</v>
      </c>
      <c r="AG107">
        <v>5833542.4900000002</v>
      </c>
      <c r="AH107">
        <v>0</v>
      </c>
      <c r="AI107">
        <v>5833542.4900000002</v>
      </c>
      <c r="AJ107">
        <v>70457.509999999995</v>
      </c>
      <c r="AK107" t="s">
        <v>322</v>
      </c>
      <c r="AL107" t="s">
        <v>323</v>
      </c>
      <c r="AM107" t="s">
        <v>1327</v>
      </c>
      <c r="AN107">
        <v>0</v>
      </c>
      <c r="AO107">
        <v>5833542</v>
      </c>
      <c r="AP107">
        <v>-5833542</v>
      </c>
      <c r="AQ107">
        <v>0</v>
      </c>
      <c r="AR107">
        <v>0</v>
      </c>
      <c r="AS107">
        <v>5833542</v>
      </c>
      <c r="AT107">
        <v>-5833542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5833542</v>
      </c>
      <c r="BN107">
        <v>-5833542</v>
      </c>
      <c r="BO107">
        <v>0</v>
      </c>
      <c r="BP107" t="s">
        <v>322</v>
      </c>
    </row>
    <row r="108" spans="1:68" x14ac:dyDescent="0.35">
      <c r="A108" t="s">
        <v>324</v>
      </c>
      <c r="B108">
        <v>220000</v>
      </c>
      <c r="C108">
        <v>220000</v>
      </c>
      <c r="D108">
        <v>0</v>
      </c>
      <c r="E108">
        <v>220000</v>
      </c>
      <c r="F108">
        <v>0</v>
      </c>
      <c r="G108">
        <v>220000</v>
      </c>
      <c r="H108">
        <v>220000</v>
      </c>
      <c r="I108">
        <v>0</v>
      </c>
      <c r="J108">
        <v>220000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220000</v>
      </c>
      <c r="AG108">
        <v>220000</v>
      </c>
      <c r="AH108">
        <v>0</v>
      </c>
      <c r="AI108">
        <v>220000</v>
      </c>
      <c r="AJ108">
        <v>0</v>
      </c>
      <c r="AK108" t="s">
        <v>325</v>
      </c>
      <c r="AL108" t="s">
        <v>326</v>
      </c>
      <c r="AM108" t="s">
        <v>1328</v>
      </c>
      <c r="AN108">
        <v>0</v>
      </c>
      <c r="AO108">
        <v>220000</v>
      </c>
      <c r="AP108">
        <v>-220000</v>
      </c>
      <c r="AQ108">
        <v>0</v>
      </c>
      <c r="AR108">
        <v>0</v>
      </c>
      <c r="AS108">
        <v>220000</v>
      </c>
      <c r="AT108">
        <v>-220000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220000</v>
      </c>
      <c r="BN108">
        <v>-220000</v>
      </c>
      <c r="BO108">
        <v>0</v>
      </c>
      <c r="BP108" t="s">
        <v>325</v>
      </c>
    </row>
    <row r="109" spans="1:68" x14ac:dyDescent="0.35">
      <c r="A109" t="s">
        <v>327</v>
      </c>
      <c r="B109">
        <v>797000</v>
      </c>
      <c r="C109">
        <v>769640.52</v>
      </c>
      <c r="D109">
        <v>0</v>
      </c>
      <c r="E109">
        <v>769640.52</v>
      </c>
      <c r="F109">
        <v>27359.48</v>
      </c>
      <c r="G109">
        <v>797000</v>
      </c>
      <c r="H109">
        <v>769640.52</v>
      </c>
      <c r="I109">
        <v>0</v>
      </c>
      <c r="J109">
        <v>769640.52</v>
      </c>
      <c r="K109">
        <v>27359.48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797000</v>
      </c>
      <c r="AG109">
        <v>769640.52</v>
      </c>
      <c r="AH109">
        <v>0</v>
      </c>
      <c r="AI109">
        <v>769640.52</v>
      </c>
      <c r="AJ109">
        <v>27359.48</v>
      </c>
      <c r="AK109" t="s">
        <v>328</v>
      </c>
      <c r="AL109" t="s">
        <v>329</v>
      </c>
      <c r="AM109" t="s">
        <v>1329</v>
      </c>
      <c r="AN109">
        <v>0</v>
      </c>
      <c r="AO109">
        <v>769641</v>
      </c>
      <c r="AP109">
        <v>-769641</v>
      </c>
      <c r="AQ109">
        <v>0</v>
      </c>
      <c r="AR109">
        <v>0</v>
      </c>
      <c r="AS109">
        <v>769641</v>
      </c>
      <c r="AT109">
        <v>-769641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769641</v>
      </c>
      <c r="BN109">
        <v>-769641</v>
      </c>
      <c r="BO109">
        <v>0</v>
      </c>
      <c r="BP109" t="s">
        <v>328</v>
      </c>
    </row>
    <row r="110" spans="1:68" x14ac:dyDescent="0.35">
      <c r="A110" t="s">
        <v>330</v>
      </c>
      <c r="B110">
        <v>110000</v>
      </c>
      <c r="C110">
        <v>109727.77</v>
      </c>
      <c r="D110">
        <v>0</v>
      </c>
      <c r="E110">
        <v>109727.77</v>
      </c>
      <c r="F110">
        <v>272.23</v>
      </c>
      <c r="G110">
        <v>110000</v>
      </c>
      <c r="H110">
        <v>109727.77</v>
      </c>
      <c r="I110">
        <v>0</v>
      </c>
      <c r="J110">
        <v>109727.77</v>
      </c>
      <c r="K110">
        <v>272.23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110000</v>
      </c>
      <c r="AG110">
        <v>109727.77</v>
      </c>
      <c r="AH110">
        <v>0</v>
      </c>
      <c r="AI110">
        <v>109727.77</v>
      </c>
      <c r="AJ110">
        <v>272.23</v>
      </c>
      <c r="AK110" t="s">
        <v>331</v>
      </c>
      <c r="AL110" t="s">
        <v>332</v>
      </c>
      <c r="AM110" t="s">
        <v>1330</v>
      </c>
      <c r="AN110">
        <v>0</v>
      </c>
      <c r="AO110">
        <v>109728</v>
      </c>
      <c r="AP110">
        <v>-109728</v>
      </c>
      <c r="AQ110">
        <v>0</v>
      </c>
      <c r="AR110">
        <v>0</v>
      </c>
      <c r="AS110">
        <v>109728</v>
      </c>
      <c r="AT110">
        <v>-109728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109728</v>
      </c>
      <c r="BN110">
        <v>-109728</v>
      </c>
      <c r="BO110">
        <v>0</v>
      </c>
      <c r="BP110" t="s">
        <v>331</v>
      </c>
    </row>
    <row r="111" spans="1:68" x14ac:dyDescent="0.35">
      <c r="A111" t="s">
        <v>333</v>
      </c>
      <c r="B111">
        <v>3220000</v>
      </c>
      <c r="C111">
        <v>3219980</v>
      </c>
      <c r="D111">
        <v>0</v>
      </c>
      <c r="E111">
        <v>3219980</v>
      </c>
      <c r="F111">
        <v>20</v>
      </c>
      <c r="G111">
        <v>3220000</v>
      </c>
      <c r="H111">
        <v>3219980</v>
      </c>
      <c r="I111">
        <v>0</v>
      </c>
      <c r="J111">
        <v>3219980</v>
      </c>
      <c r="K111">
        <v>20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3220000</v>
      </c>
      <c r="AG111">
        <v>3219980</v>
      </c>
      <c r="AH111">
        <v>0</v>
      </c>
      <c r="AI111">
        <v>3219980</v>
      </c>
      <c r="AJ111">
        <v>20</v>
      </c>
      <c r="AK111" t="s">
        <v>334</v>
      </c>
      <c r="AL111" t="s">
        <v>335</v>
      </c>
      <c r="AM111" t="s">
        <v>1331</v>
      </c>
      <c r="AN111">
        <v>0</v>
      </c>
      <c r="AO111">
        <v>3219980</v>
      </c>
      <c r="AP111">
        <v>-3219980</v>
      </c>
      <c r="AQ111">
        <v>0</v>
      </c>
      <c r="AR111">
        <v>0</v>
      </c>
      <c r="AS111">
        <v>3219980</v>
      </c>
      <c r="AT111">
        <v>-3219980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3219980</v>
      </c>
      <c r="BN111">
        <v>-3219980</v>
      </c>
      <c r="BO111">
        <v>0</v>
      </c>
      <c r="BP111" t="s">
        <v>334</v>
      </c>
    </row>
    <row r="112" spans="1:68" x14ac:dyDescent="0.35">
      <c r="A112" t="s">
        <v>336</v>
      </c>
      <c r="B112">
        <v>1000000</v>
      </c>
      <c r="C112">
        <v>1000000</v>
      </c>
      <c r="D112">
        <v>0</v>
      </c>
      <c r="E112">
        <v>1000000</v>
      </c>
      <c r="F112">
        <v>0</v>
      </c>
      <c r="G112">
        <v>1000000</v>
      </c>
      <c r="H112">
        <v>1000000</v>
      </c>
      <c r="I112">
        <v>0</v>
      </c>
      <c r="J112">
        <v>1000000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1000000</v>
      </c>
      <c r="AG112">
        <v>1000000</v>
      </c>
      <c r="AH112">
        <v>0</v>
      </c>
      <c r="AI112">
        <v>1000000</v>
      </c>
      <c r="AJ112">
        <v>0</v>
      </c>
      <c r="AK112" t="s">
        <v>337</v>
      </c>
      <c r="AL112" t="s">
        <v>338</v>
      </c>
      <c r="AM112" t="s">
        <v>1332</v>
      </c>
      <c r="AN112">
        <v>0</v>
      </c>
      <c r="AO112">
        <v>1000000</v>
      </c>
      <c r="AP112">
        <v>-1000000</v>
      </c>
      <c r="AQ112">
        <v>0</v>
      </c>
      <c r="AR112">
        <v>0</v>
      </c>
      <c r="AS112">
        <v>1000000</v>
      </c>
      <c r="AT112">
        <v>-1000000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1000000</v>
      </c>
      <c r="BN112">
        <v>-1000000</v>
      </c>
      <c r="BO112">
        <v>0</v>
      </c>
      <c r="BP112" t="s">
        <v>337</v>
      </c>
    </row>
    <row r="113" spans="1:68" x14ac:dyDescent="0.35">
      <c r="A113" t="s">
        <v>339</v>
      </c>
      <c r="B113">
        <v>6000000</v>
      </c>
      <c r="C113">
        <v>1385203.49</v>
      </c>
      <c r="D113">
        <v>1893527</v>
      </c>
      <c r="E113">
        <v>3278730.49</v>
      </c>
      <c r="F113">
        <v>2721269.51</v>
      </c>
      <c r="G113">
        <v>6000000</v>
      </c>
      <c r="H113">
        <v>1385203.49</v>
      </c>
      <c r="I113">
        <v>1893527</v>
      </c>
      <c r="J113">
        <v>3278730.49</v>
      </c>
      <c r="K113">
        <v>2721269.51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6000000</v>
      </c>
      <c r="AG113">
        <v>1385203.49</v>
      </c>
      <c r="AH113">
        <v>1893527</v>
      </c>
      <c r="AI113">
        <v>3278730.49</v>
      </c>
      <c r="AJ113">
        <v>2721269.51</v>
      </c>
      <c r="AK113" t="s">
        <v>340</v>
      </c>
      <c r="AL113" t="s">
        <v>341</v>
      </c>
      <c r="AM113" t="s">
        <v>1333</v>
      </c>
      <c r="AN113">
        <v>0</v>
      </c>
      <c r="AO113">
        <v>1385203</v>
      </c>
      <c r="AP113">
        <v>-1385203</v>
      </c>
      <c r="AQ113">
        <v>0</v>
      </c>
      <c r="AR113">
        <v>0</v>
      </c>
      <c r="AS113">
        <v>1385203</v>
      </c>
      <c r="AT113">
        <v>-1385203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1385203</v>
      </c>
      <c r="BN113">
        <v>-1385203</v>
      </c>
      <c r="BO113">
        <v>0</v>
      </c>
      <c r="BP113" t="s">
        <v>340</v>
      </c>
    </row>
    <row r="114" spans="1:68" x14ac:dyDescent="0.35">
      <c r="A114" t="s">
        <v>342</v>
      </c>
      <c r="B114">
        <v>20000000</v>
      </c>
      <c r="C114">
        <v>11121516.619999999</v>
      </c>
      <c r="D114">
        <v>0</v>
      </c>
      <c r="E114">
        <v>11121516.619999999</v>
      </c>
      <c r="F114">
        <v>8878483.3800000008</v>
      </c>
      <c r="G114">
        <v>20000000</v>
      </c>
      <c r="H114">
        <v>11121516.619999999</v>
      </c>
      <c r="I114">
        <v>0</v>
      </c>
      <c r="J114">
        <v>11121516.619999999</v>
      </c>
      <c r="K114">
        <v>8878483.3800000008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20000000</v>
      </c>
      <c r="AG114">
        <v>11121516.619999999</v>
      </c>
      <c r="AH114">
        <v>0</v>
      </c>
      <c r="AI114">
        <v>11121516.619999999</v>
      </c>
      <c r="AJ114">
        <v>8878483.3800000008</v>
      </c>
      <c r="AK114" t="s">
        <v>343</v>
      </c>
      <c r="AL114" t="s">
        <v>344</v>
      </c>
      <c r="AM114" t="s">
        <v>1334</v>
      </c>
      <c r="AN114">
        <v>0</v>
      </c>
      <c r="AO114">
        <v>11121517</v>
      </c>
      <c r="AP114">
        <v>-11121517</v>
      </c>
      <c r="AQ114">
        <v>0</v>
      </c>
      <c r="AR114">
        <v>0</v>
      </c>
      <c r="AS114">
        <v>11121517</v>
      </c>
      <c r="AT114">
        <v>-11121517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11121517</v>
      </c>
      <c r="BN114">
        <v>-11121517</v>
      </c>
      <c r="BO114">
        <v>0</v>
      </c>
      <c r="BP114" t="s">
        <v>343</v>
      </c>
    </row>
    <row r="115" spans="1:68" x14ac:dyDescent="0.35">
      <c r="A115" t="s">
        <v>345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346</v>
      </c>
      <c r="AL115" t="s">
        <v>347</v>
      </c>
    </row>
    <row r="116" spans="1:68" x14ac:dyDescent="0.35">
      <c r="A116" t="s">
        <v>348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349</v>
      </c>
      <c r="AL116" t="s">
        <v>350</v>
      </c>
    </row>
    <row r="117" spans="1:68" x14ac:dyDescent="0.35">
      <c r="A117" t="s">
        <v>351</v>
      </c>
      <c r="B117">
        <v>2500000</v>
      </c>
      <c r="C117">
        <v>2425160.2799999998</v>
      </c>
      <c r="D117">
        <v>0</v>
      </c>
      <c r="E117">
        <v>2425160.2799999998</v>
      </c>
      <c r="F117">
        <v>74839.72</v>
      </c>
      <c r="G117">
        <v>2500000</v>
      </c>
      <c r="H117">
        <v>2425160.2799999998</v>
      </c>
      <c r="I117">
        <v>0</v>
      </c>
      <c r="J117">
        <v>2425160.2799999998</v>
      </c>
      <c r="K117">
        <v>74839.72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2500000</v>
      </c>
      <c r="AG117">
        <v>2425160.2799999998</v>
      </c>
      <c r="AH117">
        <v>0</v>
      </c>
      <c r="AI117">
        <v>2425160.2799999998</v>
      </c>
      <c r="AJ117">
        <v>74839.72</v>
      </c>
      <c r="AK117" t="s">
        <v>352</v>
      </c>
      <c r="AL117" t="s">
        <v>353</v>
      </c>
      <c r="AM117" t="s">
        <v>1335</v>
      </c>
      <c r="AN117">
        <v>0</v>
      </c>
      <c r="AO117">
        <v>2425160</v>
      </c>
      <c r="AP117">
        <v>-2425160</v>
      </c>
      <c r="AQ117">
        <v>0</v>
      </c>
      <c r="AR117">
        <v>0</v>
      </c>
      <c r="AS117">
        <v>2425160</v>
      </c>
      <c r="AT117">
        <v>-2425160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2425160</v>
      </c>
      <c r="BN117">
        <v>-2425160</v>
      </c>
      <c r="BO117">
        <v>0</v>
      </c>
      <c r="BP117" t="s">
        <v>352</v>
      </c>
    </row>
    <row r="118" spans="1:68" x14ac:dyDescent="0.35">
      <c r="A118" t="s">
        <v>354</v>
      </c>
      <c r="B118">
        <v>1000000</v>
      </c>
      <c r="C118">
        <v>942278.86</v>
      </c>
      <c r="D118">
        <v>0</v>
      </c>
      <c r="E118">
        <v>942278.86</v>
      </c>
      <c r="F118">
        <v>57721.14</v>
      </c>
      <c r="G118">
        <v>1000000</v>
      </c>
      <c r="H118">
        <v>942278.86</v>
      </c>
      <c r="I118">
        <v>0</v>
      </c>
      <c r="J118">
        <v>942278.86</v>
      </c>
      <c r="K118">
        <v>57721.14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1000000</v>
      </c>
      <c r="AG118">
        <v>942278.86</v>
      </c>
      <c r="AH118">
        <v>0</v>
      </c>
      <c r="AI118">
        <v>942278.86</v>
      </c>
      <c r="AJ118">
        <v>57721.14</v>
      </c>
      <c r="AK118" t="s">
        <v>355</v>
      </c>
      <c r="AL118" t="s">
        <v>356</v>
      </c>
      <c r="AM118" t="s">
        <v>1336</v>
      </c>
      <c r="AN118">
        <v>0</v>
      </c>
      <c r="AO118">
        <v>942279</v>
      </c>
      <c r="AP118">
        <v>-942279</v>
      </c>
      <c r="AQ118">
        <v>0</v>
      </c>
      <c r="AR118">
        <v>0</v>
      </c>
      <c r="AS118">
        <v>942279</v>
      </c>
      <c r="AT118">
        <v>-942279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942279</v>
      </c>
      <c r="BN118">
        <v>-942279</v>
      </c>
      <c r="BO118">
        <v>0</v>
      </c>
      <c r="BP118" t="s">
        <v>355</v>
      </c>
    </row>
    <row r="119" spans="1:68" x14ac:dyDescent="0.35">
      <c r="A119" t="s">
        <v>357</v>
      </c>
      <c r="B119">
        <v>4000000</v>
      </c>
      <c r="C119">
        <v>2519727.84</v>
      </c>
      <c r="D119">
        <v>1173152.6599999999</v>
      </c>
      <c r="E119">
        <v>3692880.5</v>
      </c>
      <c r="F119">
        <v>307119.5</v>
      </c>
      <c r="G119">
        <v>4000000</v>
      </c>
      <c r="H119">
        <v>2519727.84</v>
      </c>
      <c r="I119">
        <v>1173152.6599999999</v>
      </c>
      <c r="J119">
        <v>3692880.5</v>
      </c>
      <c r="K119">
        <v>307119.5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4000000</v>
      </c>
      <c r="AG119">
        <v>2519727.84</v>
      </c>
      <c r="AH119">
        <v>1173152.6599999999</v>
      </c>
      <c r="AI119">
        <v>3692880.5</v>
      </c>
      <c r="AJ119">
        <v>307119.5</v>
      </c>
      <c r="AK119" t="s">
        <v>358</v>
      </c>
      <c r="AL119" t="s">
        <v>359</v>
      </c>
      <c r="AM119" t="s">
        <v>1337</v>
      </c>
      <c r="AN119">
        <v>0</v>
      </c>
      <c r="AO119">
        <v>2519728</v>
      </c>
      <c r="AP119">
        <v>-2519728</v>
      </c>
      <c r="AQ119">
        <v>0</v>
      </c>
      <c r="AR119">
        <v>0</v>
      </c>
      <c r="AS119">
        <v>2519728</v>
      </c>
      <c r="AT119">
        <v>-2519728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2519728</v>
      </c>
      <c r="BN119">
        <v>-2519728</v>
      </c>
      <c r="BO119">
        <v>0</v>
      </c>
      <c r="BP119" t="s">
        <v>358</v>
      </c>
    </row>
    <row r="120" spans="1:68" x14ac:dyDescent="0.35">
      <c r="A120" t="s">
        <v>360</v>
      </c>
      <c r="B120">
        <v>1750000</v>
      </c>
      <c r="C120">
        <v>1389845.6</v>
      </c>
      <c r="D120">
        <v>0</v>
      </c>
      <c r="E120">
        <v>1389845.6</v>
      </c>
      <c r="F120">
        <v>360154.4</v>
      </c>
      <c r="G120">
        <v>1750000</v>
      </c>
      <c r="H120">
        <v>1389845.6</v>
      </c>
      <c r="I120">
        <v>0</v>
      </c>
      <c r="J120">
        <v>1389845.6</v>
      </c>
      <c r="K120">
        <v>360154.4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1750000</v>
      </c>
      <c r="AG120">
        <v>1389845.6</v>
      </c>
      <c r="AH120">
        <v>0</v>
      </c>
      <c r="AI120">
        <v>1389845.6</v>
      </c>
      <c r="AJ120">
        <v>360154.4</v>
      </c>
      <c r="AK120" t="s">
        <v>361</v>
      </c>
      <c r="AL120" t="s">
        <v>362</v>
      </c>
      <c r="AM120" t="s">
        <v>1338</v>
      </c>
      <c r="AN120">
        <v>0</v>
      </c>
      <c r="AO120">
        <v>1389846</v>
      </c>
      <c r="AP120">
        <v>-1389846</v>
      </c>
      <c r="AQ120">
        <v>0</v>
      </c>
      <c r="AR120">
        <v>0</v>
      </c>
      <c r="AS120">
        <v>1389846</v>
      </c>
      <c r="AT120">
        <v>-1389846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1389846</v>
      </c>
      <c r="BN120">
        <v>-1389846</v>
      </c>
      <c r="BO120">
        <v>0</v>
      </c>
      <c r="BP120" t="s">
        <v>361</v>
      </c>
    </row>
    <row r="121" spans="1:68" x14ac:dyDescent="0.35">
      <c r="A121" t="s">
        <v>363</v>
      </c>
      <c r="B121">
        <v>1200000</v>
      </c>
      <c r="C121">
        <v>832583.92</v>
      </c>
      <c r="D121">
        <v>0</v>
      </c>
      <c r="E121">
        <v>832583.92</v>
      </c>
      <c r="F121">
        <v>367416.08</v>
      </c>
      <c r="G121">
        <v>1200000</v>
      </c>
      <c r="H121">
        <v>832583.92</v>
      </c>
      <c r="I121">
        <v>0</v>
      </c>
      <c r="J121">
        <v>832583.92</v>
      </c>
      <c r="K121">
        <v>367416.08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1200000</v>
      </c>
      <c r="AG121">
        <v>832583.92</v>
      </c>
      <c r="AH121">
        <v>0</v>
      </c>
      <c r="AI121">
        <v>832583.92</v>
      </c>
      <c r="AJ121">
        <v>367416.08</v>
      </c>
      <c r="AK121" t="s">
        <v>364</v>
      </c>
      <c r="AL121" t="s">
        <v>365</v>
      </c>
      <c r="AM121" t="s">
        <v>1339</v>
      </c>
      <c r="AN121">
        <v>0</v>
      </c>
      <c r="AO121">
        <v>832584</v>
      </c>
      <c r="AP121">
        <v>-832584</v>
      </c>
      <c r="AQ121">
        <v>0</v>
      </c>
      <c r="AR121">
        <v>0</v>
      </c>
      <c r="AS121">
        <v>832584</v>
      </c>
      <c r="AT121">
        <v>-832584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832584</v>
      </c>
      <c r="BN121">
        <v>-832584</v>
      </c>
      <c r="BO121">
        <v>0</v>
      </c>
      <c r="BP121" t="s">
        <v>364</v>
      </c>
    </row>
    <row r="122" spans="1:68" x14ac:dyDescent="0.35">
      <c r="A122" t="s">
        <v>366</v>
      </c>
      <c r="B122">
        <v>350000</v>
      </c>
      <c r="C122">
        <v>162903.1</v>
      </c>
      <c r="D122">
        <v>0</v>
      </c>
      <c r="E122">
        <v>162903.1</v>
      </c>
      <c r="F122">
        <v>187096.9</v>
      </c>
      <c r="G122">
        <v>350000</v>
      </c>
      <c r="H122">
        <v>162903.1</v>
      </c>
      <c r="I122">
        <v>0</v>
      </c>
      <c r="J122">
        <v>162903.1</v>
      </c>
      <c r="K122">
        <v>187096.9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350000</v>
      </c>
      <c r="AG122">
        <v>162903.1</v>
      </c>
      <c r="AH122">
        <v>0</v>
      </c>
      <c r="AI122">
        <v>162903.1</v>
      </c>
      <c r="AJ122">
        <v>187096.9</v>
      </c>
      <c r="AK122" t="s">
        <v>367</v>
      </c>
      <c r="AL122" t="s">
        <v>368</v>
      </c>
      <c r="AM122" t="s">
        <v>1340</v>
      </c>
      <c r="AN122">
        <v>0</v>
      </c>
      <c r="AO122">
        <v>162903</v>
      </c>
      <c r="AP122">
        <v>-162903</v>
      </c>
      <c r="AQ122">
        <v>0</v>
      </c>
      <c r="AR122">
        <v>0</v>
      </c>
      <c r="AS122">
        <v>162903</v>
      </c>
      <c r="AT122">
        <v>-162903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162903</v>
      </c>
      <c r="BN122">
        <v>-162903</v>
      </c>
      <c r="BO122">
        <v>0</v>
      </c>
      <c r="BP122" t="s">
        <v>367</v>
      </c>
    </row>
    <row r="123" spans="1:68" x14ac:dyDescent="0.35">
      <c r="A123" t="s">
        <v>369</v>
      </c>
      <c r="B123">
        <v>15000000</v>
      </c>
      <c r="C123">
        <v>1404091.16</v>
      </c>
      <c r="D123">
        <v>11950961.6</v>
      </c>
      <c r="E123">
        <v>13355052.76</v>
      </c>
      <c r="F123">
        <v>1644947.24</v>
      </c>
      <c r="G123">
        <v>15000000</v>
      </c>
      <c r="H123">
        <v>1404091.16</v>
      </c>
      <c r="I123">
        <v>11950961.6</v>
      </c>
      <c r="J123">
        <v>13355052.76</v>
      </c>
      <c r="K123">
        <v>1644947.24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15000000</v>
      </c>
      <c r="AG123">
        <v>1404091.16</v>
      </c>
      <c r="AH123">
        <v>11950961.6</v>
      </c>
      <c r="AI123">
        <v>13355052.76</v>
      </c>
      <c r="AJ123">
        <v>1644947.24</v>
      </c>
      <c r="AK123" t="s">
        <v>370</v>
      </c>
      <c r="AL123" t="s">
        <v>371</v>
      </c>
      <c r="AM123" t="s">
        <v>1341</v>
      </c>
      <c r="AN123">
        <v>0</v>
      </c>
      <c r="AO123">
        <v>1404091</v>
      </c>
      <c r="AP123">
        <v>-1404091</v>
      </c>
      <c r="AQ123">
        <v>0</v>
      </c>
      <c r="AR123">
        <v>0</v>
      </c>
      <c r="AS123">
        <v>1404091</v>
      </c>
      <c r="AT123">
        <v>-1404091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1404091</v>
      </c>
      <c r="BN123">
        <v>-1404091</v>
      </c>
      <c r="BO123">
        <v>0</v>
      </c>
      <c r="BP123" t="s">
        <v>370</v>
      </c>
    </row>
    <row r="124" spans="1:68" x14ac:dyDescent="0.35">
      <c r="A124" t="s">
        <v>372</v>
      </c>
      <c r="B124">
        <v>12000000</v>
      </c>
      <c r="C124">
        <v>0</v>
      </c>
      <c r="D124">
        <v>0</v>
      </c>
      <c r="E124">
        <v>0</v>
      </c>
      <c r="F124">
        <v>12000000</v>
      </c>
      <c r="G124">
        <v>12000000</v>
      </c>
      <c r="H124">
        <v>0</v>
      </c>
      <c r="I124">
        <v>0</v>
      </c>
      <c r="J124">
        <v>0</v>
      </c>
      <c r="K124">
        <v>12000000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12000000</v>
      </c>
      <c r="AG124">
        <v>0</v>
      </c>
      <c r="AH124">
        <v>0</v>
      </c>
      <c r="AI124">
        <v>0</v>
      </c>
      <c r="AJ124">
        <v>12000000</v>
      </c>
      <c r="AK124" t="s">
        <v>373</v>
      </c>
      <c r="AL124" t="s">
        <v>374</v>
      </c>
    </row>
    <row r="125" spans="1:68" x14ac:dyDescent="0.35">
      <c r="A125" t="s">
        <v>375</v>
      </c>
      <c r="B125">
        <v>200000</v>
      </c>
      <c r="C125">
        <v>199953.12</v>
      </c>
      <c r="D125">
        <v>0</v>
      </c>
      <c r="E125">
        <v>199953.12</v>
      </c>
      <c r="F125">
        <v>46.88</v>
      </c>
      <c r="G125">
        <v>200000</v>
      </c>
      <c r="H125">
        <v>199953.12</v>
      </c>
      <c r="I125">
        <v>0</v>
      </c>
      <c r="J125">
        <v>199953.12</v>
      </c>
      <c r="K125">
        <v>46.88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200000</v>
      </c>
      <c r="AG125">
        <v>199953.12</v>
      </c>
      <c r="AH125">
        <v>0</v>
      </c>
      <c r="AI125">
        <v>199953.12</v>
      </c>
      <c r="AJ125">
        <v>46.88</v>
      </c>
      <c r="AK125" t="s">
        <v>376</v>
      </c>
      <c r="AL125" t="s">
        <v>377</v>
      </c>
      <c r="AM125" t="s">
        <v>1342</v>
      </c>
      <c r="AN125">
        <v>0</v>
      </c>
      <c r="AO125">
        <v>199953</v>
      </c>
      <c r="AP125">
        <v>-199953</v>
      </c>
      <c r="AQ125">
        <v>0</v>
      </c>
      <c r="AR125">
        <v>0</v>
      </c>
      <c r="AS125">
        <v>199953</v>
      </c>
      <c r="AT125">
        <v>-199953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199953</v>
      </c>
      <c r="BN125">
        <v>-199953</v>
      </c>
      <c r="BO125">
        <v>0</v>
      </c>
      <c r="BP125" t="s">
        <v>376</v>
      </c>
    </row>
    <row r="126" spans="1:68" x14ac:dyDescent="0.35">
      <c r="A126" t="s">
        <v>378</v>
      </c>
      <c r="B126">
        <v>300000</v>
      </c>
      <c r="C126">
        <v>291100</v>
      </c>
      <c r="D126">
        <v>0</v>
      </c>
      <c r="E126">
        <v>291100</v>
      </c>
      <c r="F126">
        <v>8900</v>
      </c>
      <c r="G126">
        <v>300000</v>
      </c>
      <c r="H126">
        <v>291100</v>
      </c>
      <c r="I126">
        <v>0</v>
      </c>
      <c r="J126">
        <v>291100</v>
      </c>
      <c r="K126">
        <v>8900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300000</v>
      </c>
      <c r="AG126">
        <v>291100</v>
      </c>
      <c r="AH126">
        <v>0</v>
      </c>
      <c r="AI126">
        <v>291100</v>
      </c>
      <c r="AJ126">
        <v>8900</v>
      </c>
      <c r="AK126" t="s">
        <v>379</v>
      </c>
      <c r="AL126" t="s">
        <v>380</v>
      </c>
      <c r="AM126" t="s">
        <v>1343</v>
      </c>
      <c r="AN126">
        <v>0</v>
      </c>
      <c r="AO126">
        <v>291100</v>
      </c>
      <c r="AP126">
        <v>-291100</v>
      </c>
      <c r="AQ126">
        <v>0</v>
      </c>
      <c r="AR126">
        <v>0</v>
      </c>
      <c r="AS126">
        <v>291100</v>
      </c>
      <c r="AT126">
        <v>-291100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291100</v>
      </c>
      <c r="BN126">
        <v>-291100</v>
      </c>
      <c r="BO126">
        <v>0</v>
      </c>
      <c r="BP126" t="s">
        <v>379</v>
      </c>
    </row>
    <row r="127" spans="1:68" x14ac:dyDescent="0.35">
      <c r="A127" t="s">
        <v>381</v>
      </c>
      <c r="B127">
        <v>23800000</v>
      </c>
      <c r="C127">
        <v>13093566.43</v>
      </c>
      <c r="D127">
        <v>0</v>
      </c>
      <c r="E127">
        <v>13093566.43</v>
      </c>
      <c r="F127">
        <v>10706433.57</v>
      </c>
      <c r="G127">
        <v>23800000</v>
      </c>
      <c r="H127">
        <v>13093566.43</v>
      </c>
      <c r="I127">
        <v>0</v>
      </c>
      <c r="J127">
        <v>13093566.43</v>
      </c>
      <c r="K127">
        <v>10706433.57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23800000</v>
      </c>
      <c r="AG127">
        <v>13093566.43</v>
      </c>
      <c r="AH127">
        <v>0</v>
      </c>
      <c r="AI127">
        <v>13093566.43</v>
      </c>
      <c r="AJ127">
        <v>10706433.57</v>
      </c>
      <c r="AK127" t="s">
        <v>382</v>
      </c>
      <c r="AL127" t="s">
        <v>383</v>
      </c>
      <c r="AM127" t="s">
        <v>1344</v>
      </c>
      <c r="AN127">
        <v>0</v>
      </c>
      <c r="AO127">
        <v>13093566</v>
      </c>
      <c r="AP127">
        <v>-13093566</v>
      </c>
      <c r="AQ127">
        <v>0</v>
      </c>
      <c r="AR127">
        <v>0</v>
      </c>
      <c r="AS127">
        <v>13093566</v>
      </c>
      <c r="AT127">
        <v>-13093566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13093566</v>
      </c>
      <c r="BN127">
        <v>-13093566</v>
      </c>
      <c r="BO127">
        <v>0</v>
      </c>
      <c r="BP127" t="s">
        <v>382</v>
      </c>
    </row>
    <row r="128" spans="1:68" x14ac:dyDescent="0.35">
      <c r="A128" t="s">
        <v>384</v>
      </c>
      <c r="B128">
        <v>2000000</v>
      </c>
      <c r="C128">
        <v>455621.64</v>
      </c>
      <c r="D128">
        <v>1287847.3799999999</v>
      </c>
      <c r="E128">
        <v>1743469.02</v>
      </c>
      <c r="F128">
        <v>256530.98</v>
      </c>
      <c r="G128">
        <v>2000000</v>
      </c>
      <c r="H128">
        <v>455621.64</v>
      </c>
      <c r="I128">
        <v>1287847.3799999999</v>
      </c>
      <c r="J128">
        <v>1743469.02</v>
      </c>
      <c r="K128">
        <v>256530.98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2000000</v>
      </c>
      <c r="AG128">
        <v>455621.64</v>
      </c>
      <c r="AH128">
        <v>1287847.3799999999</v>
      </c>
      <c r="AI128">
        <v>1743469.02</v>
      </c>
      <c r="AJ128">
        <v>256530.98</v>
      </c>
      <c r="AK128" t="s">
        <v>385</v>
      </c>
      <c r="AL128" t="s">
        <v>386</v>
      </c>
      <c r="AM128" t="s">
        <v>1345</v>
      </c>
      <c r="AN128">
        <v>0</v>
      </c>
      <c r="AO128">
        <v>455622</v>
      </c>
      <c r="AP128">
        <v>-455622</v>
      </c>
      <c r="AQ128">
        <v>0</v>
      </c>
      <c r="AR128">
        <v>0</v>
      </c>
      <c r="AS128">
        <v>455622</v>
      </c>
      <c r="AT128">
        <v>-455622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455622</v>
      </c>
      <c r="BN128">
        <v>-455622</v>
      </c>
      <c r="BO128">
        <v>0</v>
      </c>
      <c r="BP128" t="s">
        <v>385</v>
      </c>
    </row>
    <row r="129" spans="1:68" x14ac:dyDescent="0.35">
      <c r="A129" t="s">
        <v>387</v>
      </c>
      <c r="B129">
        <v>118981000</v>
      </c>
      <c r="C129">
        <v>43624950</v>
      </c>
      <c r="D129">
        <v>75356050</v>
      </c>
      <c r="E129">
        <v>118981000</v>
      </c>
      <c r="F129">
        <v>0</v>
      </c>
      <c r="G129">
        <v>118981000</v>
      </c>
      <c r="H129">
        <v>43624950</v>
      </c>
      <c r="I129">
        <v>75356050</v>
      </c>
      <c r="J129">
        <v>118981000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118981000</v>
      </c>
      <c r="AG129">
        <v>43624950</v>
      </c>
      <c r="AH129">
        <v>75356050</v>
      </c>
      <c r="AI129">
        <v>118981000</v>
      </c>
      <c r="AJ129">
        <v>0</v>
      </c>
      <c r="AK129" t="s">
        <v>388</v>
      </c>
      <c r="AL129" t="s">
        <v>389</v>
      </c>
      <c r="AM129" t="s">
        <v>1346</v>
      </c>
      <c r="AN129">
        <v>0</v>
      </c>
      <c r="AO129">
        <v>43624950</v>
      </c>
      <c r="AP129">
        <v>-43624950</v>
      </c>
      <c r="AQ129">
        <v>0</v>
      </c>
      <c r="AR129">
        <v>0</v>
      </c>
      <c r="AS129">
        <v>43624950</v>
      </c>
      <c r="AT129">
        <v>-43624950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43624950</v>
      </c>
      <c r="BN129">
        <v>-43624950</v>
      </c>
      <c r="BO129">
        <v>0</v>
      </c>
      <c r="BP129" t="s">
        <v>388</v>
      </c>
    </row>
    <row r="130" spans="1:68" x14ac:dyDescent="0.35">
      <c r="A130" t="s">
        <v>390</v>
      </c>
      <c r="B130">
        <v>8150000</v>
      </c>
      <c r="C130">
        <v>7074958.25</v>
      </c>
      <c r="D130">
        <v>547910.74</v>
      </c>
      <c r="E130">
        <v>7622868.9900000002</v>
      </c>
      <c r="F130">
        <v>527131.01</v>
      </c>
      <c r="G130">
        <v>8150000</v>
      </c>
      <c r="H130">
        <v>7074958.25</v>
      </c>
      <c r="I130">
        <v>547910.74</v>
      </c>
      <c r="J130">
        <v>7622868.9900000002</v>
      </c>
      <c r="K130">
        <v>527131.01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8150000</v>
      </c>
      <c r="AG130">
        <v>7074958.25</v>
      </c>
      <c r="AH130">
        <v>547910.74</v>
      </c>
      <c r="AI130">
        <v>7622868.9900000002</v>
      </c>
      <c r="AJ130">
        <v>527131.01</v>
      </c>
      <c r="AK130" t="s">
        <v>391</v>
      </c>
      <c r="AL130" t="s">
        <v>392</v>
      </c>
      <c r="AM130" t="s">
        <v>1347</v>
      </c>
      <c r="AN130">
        <v>0</v>
      </c>
      <c r="AO130">
        <v>7074958</v>
      </c>
      <c r="AP130">
        <v>-7074958</v>
      </c>
      <c r="AQ130">
        <v>0</v>
      </c>
      <c r="AR130">
        <v>0</v>
      </c>
      <c r="AS130">
        <v>7074958</v>
      </c>
      <c r="AT130">
        <v>-7074958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7074958</v>
      </c>
      <c r="BN130">
        <v>-7074958</v>
      </c>
      <c r="BO130">
        <v>0</v>
      </c>
      <c r="BP130" t="s">
        <v>391</v>
      </c>
    </row>
    <row r="131" spans="1:68" x14ac:dyDescent="0.35">
      <c r="A131" t="s">
        <v>393</v>
      </c>
      <c r="B131">
        <v>6430000</v>
      </c>
      <c r="C131">
        <v>2433647.9</v>
      </c>
      <c r="D131">
        <v>97468</v>
      </c>
      <c r="E131">
        <v>2531115.9</v>
      </c>
      <c r="F131">
        <v>3898884.1</v>
      </c>
      <c r="G131">
        <v>6430000</v>
      </c>
      <c r="H131">
        <v>2433647.9</v>
      </c>
      <c r="I131">
        <v>97468</v>
      </c>
      <c r="J131">
        <v>2531115.9</v>
      </c>
      <c r="K131">
        <v>3898884.1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6430000</v>
      </c>
      <c r="AG131">
        <v>2433647.9</v>
      </c>
      <c r="AH131">
        <v>97468</v>
      </c>
      <c r="AI131">
        <v>2531115.9</v>
      </c>
      <c r="AJ131">
        <v>3898884.1</v>
      </c>
      <c r="AK131" t="s">
        <v>394</v>
      </c>
      <c r="AL131" t="s">
        <v>395</v>
      </c>
      <c r="AM131" t="s">
        <v>1348</v>
      </c>
      <c r="AN131">
        <v>0</v>
      </c>
      <c r="AO131">
        <v>2433648</v>
      </c>
      <c r="AP131">
        <v>-2433648</v>
      </c>
      <c r="AQ131">
        <v>0</v>
      </c>
      <c r="AR131">
        <v>0</v>
      </c>
      <c r="AS131">
        <v>2433648</v>
      </c>
      <c r="AT131">
        <v>-2433648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2433648</v>
      </c>
      <c r="BN131">
        <v>-2433648</v>
      </c>
      <c r="BO131">
        <v>0</v>
      </c>
      <c r="BP131" t="s">
        <v>394</v>
      </c>
    </row>
    <row r="132" spans="1:68" x14ac:dyDescent="0.35">
      <c r="A132" t="s">
        <v>396</v>
      </c>
      <c r="B132">
        <v>200000</v>
      </c>
      <c r="C132">
        <v>199912.27</v>
      </c>
      <c r="D132">
        <v>0</v>
      </c>
      <c r="E132">
        <v>199912.27</v>
      </c>
      <c r="F132">
        <v>87.73</v>
      </c>
      <c r="G132">
        <v>200000</v>
      </c>
      <c r="H132">
        <v>199912.27</v>
      </c>
      <c r="I132">
        <v>0</v>
      </c>
      <c r="J132">
        <v>199912.27</v>
      </c>
      <c r="K132">
        <v>87.73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200000</v>
      </c>
      <c r="AG132">
        <v>199912.27</v>
      </c>
      <c r="AH132">
        <v>0</v>
      </c>
      <c r="AI132">
        <v>199912.27</v>
      </c>
      <c r="AJ132">
        <v>87.73</v>
      </c>
      <c r="AK132" t="s">
        <v>397</v>
      </c>
      <c r="AL132" t="s">
        <v>398</v>
      </c>
      <c r="AM132" t="s">
        <v>1349</v>
      </c>
      <c r="AN132">
        <v>0</v>
      </c>
      <c r="AO132">
        <v>199912</v>
      </c>
      <c r="AP132">
        <v>-199912</v>
      </c>
      <c r="AQ132">
        <v>0</v>
      </c>
      <c r="AR132">
        <v>0</v>
      </c>
      <c r="AS132">
        <v>199912</v>
      </c>
      <c r="AT132">
        <v>-199912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199912</v>
      </c>
      <c r="BN132">
        <v>-199912</v>
      </c>
      <c r="BO132">
        <v>0</v>
      </c>
      <c r="BP132" t="s">
        <v>397</v>
      </c>
    </row>
    <row r="133" spans="1:68" x14ac:dyDescent="0.35">
      <c r="A133" t="s">
        <v>399</v>
      </c>
      <c r="B133">
        <v>1400000</v>
      </c>
      <c r="C133">
        <v>724166</v>
      </c>
      <c r="D133">
        <v>0</v>
      </c>
      <c r="E133">
        <v>724166</v>
      </c>
      <c r="F133">
        <v>675834</v>
      </c>
      <c r="G133">
        <v>1400000</v>
      </c>
      <c r="H133">
        <v>724166</v>
      </c>
      <c r="I133">
        <v>0</v>
      </c>
      <c r="J133">
        <v>724166</v>
      </c>
      <c r="K133">
        <v>675834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1400000</v>
      </c>
      <c r="AG133">
        <v>724166</v>
      </c>
      <c r="AH133">
        <v>0</v>
      </c>
      <c r="AI133">
        <v>724166</v>
      </c>
      <c r="AJ133">
        <v>675834</v>
      </c>
      <c r="AK133" t="s">
        <v>400</v>
      </c>
      <c r="AL133" t="s">
        <v>401</v>
      </c>
      <c r="AM133" t="s">
        <v>1350</v>
      </c>
      <c r="AN133">
        <v>0</v>
      </c>
      <c r="AO133">
        <v>724166</v>
      </c>
      <c r="AP133">
        <v>-724166</v>
      </c>
      <c r="AQ133">
        <v>0</v>
      </c>
      <c r="AR133">
        <v>0</v>
      </c>
      <c r="AS133">
        <v>724166</v>
      </c>
      <c r="AT133">
        <v>-724166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724166</v>
      </c>
      <c r="BN133">
        <v>-724166</v>
      </c>
      <c r="BO133">
        <v>0</v>
      </c>
      <c r="BP133" t="s">
        <v>400</v>
      </c>
    </row>
    <row r="134" spans="1:68" x14ac:dyDescent="0.35">
      <c r="A134" t="s">
        <v>402</v>
      </c>
      <c r="B134">
        <v>47000000</v>
      </c>
      <c r="C134">
        <v>45899030</v>
      </c>
      <c r="D134">
        <v>0</v>
      </c>
      <c r="E134">
        <v>45899030</v>
      </c>
      <c r="F134">
        <v>1100970</v>
      </c>
      <c r="G134">
        <v>47000000</v>
      </c>
      <c r="H134">
        <v>45899030</v>
      </c>
      <c r="I134">
        <v>0</v>
      </c>
      <c r="J134">
        <v>45899030</v>
      </c>
      <c r="K134">
        <v>1100970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47000000</v>
      </c>
      <c r="AG134">
        <v>45899030</v>
      </c>
      <c r="AH134">
        <v>0</v>
      </c>
      <c r="AI134">
        <v>45899030</v>
      </c>
      <c r="AJ134">
        <v>1100970</v>
      </c>
      <c r="AK134" t="s">
        <v>403</v>
      </c>
      <c r="AL134" t="s">
        <v>404</v>
      </c>
      <c r="AM134" t="s">
        <v>1351</v>
      </c>
      <c r="AN134">
        <v>0</v>
      </c>
      <c r="AO134">
        <v>45899030</v>
      </c>
      <c r="AP134">
        <v>-45899030</v>
      </c>
      <c r="AQ134">
        <v>0</v>
      </c>
      <c r="AR134">
        <v>0</v>
      </c>
      <c r="AS134">
        <v>45899030</v>
      </c>
      <c r="AT134">
        <v>-45899030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45899030</v>
      </c>
      <c r="BN134">
        <v>-45899030</v>
      </c>
      <c r="BO134">
        <v>0</v>
      </c>
      <c r="BP134" t="s">
        <v>403</v>
      </c>
    </row>
    <row r="135" spans="1:68" x14ac:dyDescent="0.35">
      <c r="A135" t="s">
        <v>405</v>
      </c>
      <c r="B135">
        <v>4846000</v>
      </c>
      <c r="C135">
        <v>4454000</v>
      </c>
      <c r="D135">
        <v>0</v>
      </c>
      <c r="E135">
        <v>4454000</v>
      </c>
      <c r="F135">
        <v>392000</v>
      </c>
      <c r="G135">
        <v>4846000</v>
      </c>
      <c r="H135">
        <v>4454000</v>
      </c>
      <c r="I135">
        <v>0</v>
      </c>
      <c r="J135">
        <v>4454000</v>
      </c>
      <c r="K135">
        <v>392000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4846000</v>
      </c>
      <c r="AG135">
        <v>4454000</v>
      </c>
      <c r="AH135">
        <v>0</v>
      </c>
      <c r="AI135">
        <v>4454000</v>
      </c>
      <c r="AJ135">
        <v>392000</v>
      </c>
      <c r="AK135" t="s">
        <v>406</v>
      </c>
      <c r="AL135" t="s">
        <v>407</v>
      </c>
      <c r="AM135" t="s">
        <v>1352</v>
      </c>
      <c r="AN135">
        <v>0</v>
      </c>
      <c r="AO135">
        <v>4454000</v>
      </c>
      <c r="AP135">
        <v>-4454000</v>
      </c>
      <c r="AQ135">
        <v>0</v>
      </c>
      <c r="AR135">
        <v>0</v>
      </c>
      <c r="AS135">
        <v>4454000</v>
      </c>
      <c r="AT135">
        <v>-4454000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4454000</v>
      </c>
      <c r="BN135">
        <v>-4454000</v>
      </c>
      <c r="BO135">
        <v>0</v>
      </c>
      <c r="BP135" t="s">
        <v>406</v>
      </c>
    </row>
    <row r="136" spans="1:68" x14ac:dyDescent="0.35">
      <c r="A136" t="s">
        <v>408</v>
      </c>
      <c r="B136">
        <v>3400000</v>
      </c>
      <c r="C136">
        <v>468393</v>
      </c>
      <c r="D136">
        <v>0</v>
      </c>
      <c r="E136">
        <v>468393</v>
      </c>
      <c r="F136">
        <v>2931607</v>
      </c>
      <c r="G136">
        <v>3400000</v>
      </c>
      <c r="H136">
        <v>468393</v>
      </c>
      <c r="I136">
        <v>0</v>
      </c>
      <c r="J136">
        <v>468393</v>
      </c>
      <c r="K136">
        <v>2931607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3400000</v>
      </c>
      <c r="AG136">
        <v>468393</v>
      </c>
      <c r="AH136">
        <v>0</v>
      </c>
      <c r="AI136">
        <v>468393</v>
      </c>
      <c r="AJ136">
        <v>2931607</v>
      </c>
      <c r="AK136" t="s">
        <v>409</v>
      </c>
      <c r="AL136" t="s">
        <v>410</v>
      </c>
      <c r="AM136" t="s">
        <v>1353</v>
      </c>
      <c r="AN136">
        <v>0</v>
      </c>
      <c r="AO136">
        <v>468393</v>
      </c>
      <c r="AP136">
        <v>-468393</v>
      </c>
      <c r="AQ136">
        <v>0</v>
      </c>
      <c r="AR136">
        <v>0</v>
      </c>
      <c r="AS136">
        <v>468393</v>
      </c>
      <c r="AT136">
        <v>-468393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468393</v>
      </c>
      <c r="BN136">
        <v>-468393</v>
      </c>
      <c r="BO136">
        <v>0</v>
      </c>
      <c r="BP136" t="s">
        <v>409</v>
      </c>
    </row>
    <row r="137" spans="1:68" x14ac:dyDescent="0.35">
      <c r="A137" t="s">
        <v>411</v>
      </c>
      <c r="B137">
        <v>18614000</v>
      </c>
      <c r="C137">
        <v>14885566</v>
      </c>
      <c r="D137">
        <v>0</v>
      </c>
      <c r="E137">
        <v>14885566</v>
      </c>
      <c r="F137">
        <v>3728434</v>
      </c>
      <c r="G137">
        <v>18614000</v>
      </c>
      <c r="H137">
        <v>14885566</v>
      </c>
      <c r="I137">
        <v>0</v>
      </c>
      <c r="J137">
        <v>14885566</v>
      </c>
      <c r="K137">
        <v>3728434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18614000</v>
      </c>
      <c r="AG137">
        <v>14885566</v>
      </c>
      <c r="AH137">
        <v>0</v>
      </c>
      <c r="AI137">
        <v>14885566</v>
      </c>
      <c r="AJ137">
        <v>3728434</v>
      </c>
      <c r="AK137" t="s">
        <v>406</v>
      </c>
      <c r="AL137" t="s">
        <v>412</v>
      </c>
      <c r="AM137" t="s">
        <v>1354</v>
      </c>
      <c r="AN137">
        <v>0</v>
      </c>
      <c r="AO137">
        <v>14885566</v>
      </c>
      <c r="AP137">
        <v>-14885566</v>
      </c>
      <c r="AQ137">
        <v>0</v>
      </c>
      <c r="AR137">
        <v>0</v>
      </c>
      <c r="AS137">
        <v>14885566</v>
      </c>
      <c r="AT137">
        <v>-14885566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14885566</v>
      </c>
      <c r="BN137">
        <v>-14885566</v>
      </c>
      <c r="BO137">
        <v>0</v>
      </c>
      <c r="BP137" t="s">
        <v>406</v>
      </c>
    </row>
    <row r="138" spans="1:68" x14ac:dyDescent="0.35">
      <c r="A138" t="s">
        <v>413</v>
      </c>
      <c r="B138">
        <v>50000000</v>
      </c>
      <c r="C138">
        <v>50000000</v>
      </c>
      <c r="D138">
        <v>0</v>
      </c>
      <c r="E138">
        <v>50000000</v>
      </c>
      <c r="F138">
        <v>0</v>
      </c>
      <c r="G138">
        <v>50000000</v>
      </c>
      <c r="H138">
        <v>50000000</v>
      </c>
      <c r="I138">
        <v>0</v>
      </c>
      <c r="J138">
        <v>50000000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50000000</v>
      </c>
      <c r="AG138">
        <v>50000000</v>
      </c>
      <c r="AH138">
        <v>0</v>
      </c>
      <c r="AI138">
        <v>50000000</v>
      </c>
      <c r="AJ138">
        <v>0</v>
      </c>
      <c r="AK138" t="s">
        <v>414</v>
      </c>
      <c r="AL138" t="s">
        <v>415</v>
      </c>
      <c r="AM138" t="s">
        <v>1355</v>
      </c>
      <c r="AN138">
        <v>0</v>
      </c>
      <c r="AO138">
        <v>50000000</v>
      </c>
      <c r="AP138">
        <v>-50000000</v>
      </c>
      <c r="AQ138">
        <v>0</v>
      </c>
      <c r="AR138">
        <v>0</v>
      </c>
      <c r="AS138">
        <v>50000000</v>
      </c>
      <c r="AT138">
        <v>-50000000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50000000</v>
      </c>
      <c r="BN138">
        <v>-50000000</v>
      </c>
      <c r="BO138">
        <v>0</v>
      </c>
      <c r="BP138" t="s">
        <v>414</v>
      </c>
    </row>
    <row r="139" spans="1:68" x14ac:dyDescent="0.35">
      <c r="A139" t="s">
        <v>416</v>
      </c>
      <c r="B139">
        <v>18500000</v>
      </c>
      <c r="C139">
        <v>9250000</v>
      </c>
      <c r="D139">
        <v>9250000</v>
      </c>
      <c r="E139">
        <v>18500000</v>
      </c>
      <c r="F139">
        <v>0</v>
      </c>
      <c r="G139">
        <v>18500000</v>
      </c>
      <c r="H139">
        <v>9250000</v>
      </c>
      <c r="I139">
        <v>9250000</v>
      </c>
      <c r="J139">
        <v>18500000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18500000</v>
      </c>
      <c r="AG139">
        <v>9250000</v>
      </c>
      <c r="AH139">
        <v>9250000</v>
      </c>
      <c r="AI139">
        <v>18500000</v>
      </c>
      <c r="AJ139">
        <v>0</v>
      </c>
      <c r="AK139" t="s">
        <v>417</v>
      </c>
      <c r="AL139" t="s">
        <v>418</v>
      </c>
      <c r="AM139" t="s">
        <v>1356</v>
      </c>
      <c r="AN139">
        <v>0</v>
      </c>
      <c r="AO139">
        <v>9250000</v>
      </c>
      <c r="AP139">
        <v>-9250000</v>
      </c>
      <c r="AQ139">
        <v>0</v>
      </c>
      <c r="AR139">
        <v>0</v>
      </c>
      <c r="AS139">
        <v>9250000</v>
      </c>
      <c r="AT139">
        <v>-9250000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9250000</v>
      </c>
      <c r="BN139">
        <v>-9250000</v>
      </c>
      <c r="BO139">
        <v>0</v>
      </c>
      <c r="BP139" t="s">
        <v>417</v>
      </c>
    </row>
    <row r="140" spans="1:68" x14ac:dyDescent="0.35">
      <c r="A140" t="s">
        <v>419</v>
      </c>
      <c r="B140">
        <v>10500000</v>
      </c>
      <c r="C140">
        <v>382663.61</v>
      </c>
      <c r="D140">
        <v>18902.12</v>
      </c>
      <c r="E140">
        <v>401565.73</v>
      </c>
      <c r="F140">
        <v>10098434.27</v>
      </c>
      <c r="G140">
        <v>10500000</v>
      </c>
      <c r="H140">
        <v>382663.61</v>
      </c>
      <c r="I140">
        <v>18902.12</v>
      </c>
      <c r="J140">
        <v>401565.73</v>
      </c>
      <c r="K140">
        <v>10098434.27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10500000</v>
      </c>
      <c r="AG140">
        <v>382663.61</v>
      </c>
      <c r="AH140">
        <v>18902.12</v>
      </c>
      <c r="AI140">
        <v>401565.73</v>
      </c>
      <c r="AJ140">
        <v>10098434.27</v>
      </c>
      <c r="AK140" t="s">
        <v>420</v>
      </c>
      <c r="AL140" t="s">
        <v>421</v>
      </c>
      <c r="AM140" t="s">
        <v>1357</v>
      </c>
      <c r="AN140">
        <v>0</v>
      </c>
      <c r="AO140">
        <v>382664</v>
      </c>
      <c r="AP140">
        <v>-382664</v>
      </c>
      <c r="AQ140">
        <v>0</v>
      </c>
      <c r="AR140">
        <v>0</v>
      </c>
      <c r="AS140">
        <v>382664</v>
      </c>
      <c r="AT140">
        <v>-382664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382664</v>
      </c>
      <c r="BN140">
        <v>-382664</v>
      </c>
      <c r="BO140">
        <v>0</v>
      </c>
      <c r="BP140" t="s">
        <v>420</v>
      </c>
    </row>
    <row r="141" spans="1:68" x14ac:dyDescent="0.35">
      <c r="A141" t="s">
        <v>422</v>
      </c>
      <c r="B141">
        <v>20903000</v>
      </c>
      <c r="C141">
        <v>7969150</v>
      </c>
      <c r="D141">
        <v>11953725</v>
      </c>
      <c r="E141">
        <v>19922875</v>
      </c>
      <c r="F141">
        <v>980125</v>
      </c>
      <c r="G141">
        <v>20903000</v>
      </c>
      <c r="H141">
        <v>7969150</v>
      </c>
      <c r="I141">
        <v>11953725</v>
      </c>
      <c r="J141">
        <v>19922875</v>
      </c>
      <c r="K141">
        <v>980125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20903000</v>
      </c>
      <c r="AG141">
        <v>7969150</v>
      </c>
      <c r="AH141">
        <v>11953725</v>
      </c>
      <c r="AI141">
        <v>19922875</v>
      </c>
      <c r="AJ141">
        <v>980125</v>
      </c>
      <c r="AK141" t="s">
        <v>423</v>
      </c>
      <c r="AL141" t="s">
        <v>424</v>
      </c>
      <c r="AM141" t="s">
        <v>1358</v>
      </c>
      <c r="AN141">
        <v>0</v>
      </c>
      <c r="AO141">
        <v>7969150</v>
      </c>
      <c r="AP141">
        <v>-7969150</v>
      </c>
      <c r="AQ141">
        <v>0</v>
      </c>
      <c r="AR141">
        <v>0</v>
      </c>
      <c r="AS141">
        <v>7969150</v>
      </c>
      <c r="AT141">
        <v>-7969150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7969150</v>
      </c>
      <c r="BN141">
        <v>-7969150</v>
      </c>
      <c r="BO141">
        <v>0</v>
      </c>
      <c r="BP141" t="s">
        <v>423</v>
      </c>
    </row>
    <row r="142" spans="1:68" x14ac:dyDescent="0.35">
      <c r="A142" t="s">
        <v>425</v>
      </c>
      <c r="B142">
        <v>100000</v>
      </c>
      <c r="C142">
        <v>0</v>
      </c>
      <c r="D142">
        <v>0</v>
      </c>
      <c r="E142">
        <v>0</v>
      </c>
      <c r="F142">
        <v>100000</v>
      </c>
      <c r="G142">
        <v>100000</v>
      </c>
      <c r="H142">
        <v>0</v>
      </c>
      <c r="I142">
        <v>0</v>
      </c>
      <c r="J142">
        <v>0</v>
      </c>
      <c r="K142">
        <v>100000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100000</v>
      </c>
      <c r="AG142">
        <v>0</v>
      </c>
      <c r="AH142">
        <v>0</v>
      </c>
      <c r="AI142">
        <v>0</v>
      </c>
      <c r="AJ142">
        <v>100000</v>
      </c>
      <c r="AK142" t="s">
        <v>426</v>
      </c>
      <c r="AL142" t="s">
        <v>427</v>
      </c>
    </row>
    <row r="143" spans="1:68" x14ac:dyDescent="0.35">
      <c r="A143" t="s">
        <v>428</v>
      </c>
      <c r="B143">
        <v>6000000</v>
      </c>
      <c r="C143">
        <v>1067841.42</v>
      </c>
      <c r="D143">
        <v>51230</v>
      </c>
      <c r="E143">
        <v>1119071.42</v>
      </c>
      <c r="F143">
        <v>4880928.58</v>
      </c>
      <c r="G143">
        <v>6000000</v>
      </c>
      <c r="H143">
        <v>1067841.42</v>
      </c>
      <c r="I143">
        <v>51230</v>
      </c>
      <c r="J143">
        <v>1119071.42</v>
      </c>
      <c r="K143">
        <v>4880928.58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6000000</v>
      </c>
      <c r="AG143">
        <v>1067841.42</v>
      </c>
      <c r="AH143">
        <v>51230</v>
      </c>
      <c r="AI143">
        <v>1119071.42</v>
      </c>
      <c r="AJ143">
        <v>4880928.58</v>
      </c>
      <c r="AK143" t="s">
        <v>429</v>
      </c>
      <c r="AL143" t="s">
        <v>430</v>
      </c>
      <c r="AM143" t="s">
        <v>1359</v>
      </c>
      <c r="AN143">
        <v>0</v>
      </c>
      <c r="AO143">
        <v>1067841</v>
      </c>
      <c r="AP143">
        <v>-1067841</v>
      </c>
      <c r="AQ143">
        <v>0</v>
      </c>
      <c r="AR143">
        <v>0</v>
      </c>
      <c r="AS143">
        <v>1067841</v>
      </c>
      <c r="AT143">
        <v>-1067841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1067841</v>
      </c>
      <c r="BN143">
        <v>-1067841</v>
      </c>
      <c r="BO143">
        <v>0</v>
      </c>
      <c r="BP143" t="s">
        <v>429</v>
      </c>
    </row>
    <row r="144" spans="1:68" x14ac:dyDescent="0.35">
      <c r="A144" t="s">
        <v>431</v>
      </c>
      <c r="B144">
        <v>1500000</v>
      </c>
      <c r="C144">
        <v>1500000</v>
      </c>
      <c r="D144">
        <v>0</v>
      </c>
      <c r="E144">
        <v>1500000</v>
      </c>
      <c r="F144">
        <v>0</v>
      </c>
      <c r="G144">
        <v>1500000</v>
      </c>
      <c r="H144">
        <v>1500000</v>
      </c>
      <c r="I144">
        <v>0</v>
      </c>
      <c r="J144">
        <v>1500000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1500000</v>
      </c>
      <c r="AG144">
        <v>1500000</v>
      </c>
      <c r="AH144">
        <v>0</v>
      </c>
      <c r="AI144">
        <v>1500000</v>
      </c>
      <c r="AJ144">
        <v>0</v>
      </c>
      <c r="AK144" t="s">
        <v>432</v>
      </c>
      <c r="AL144" t="s">
        <v>433</v>
      </c>
      <c r="AM144" t="s">
        <v>1360</v>
      </c>
      <c r="AN144">
        <v>0</v>
      </c>
      <c r="AO144">
        <v>1500000</v>
      </c>
      <c r="AP144">
        <v>-1500000</v>
      </c>
      <c r="AQ144">
        <v>0</v>
      </c>
      <c r="AR144">
        <v>0</v>
      </c>
      <c r="AS144">
        <v>1500000</v>
      </c>
      <c r="AT144">
        <v>-1500000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1500000</v>
      </c>
      <c r="BN144">
        <v>-1500000</v>
      </c>
      <c r="BO144">
        <v>0</v>
      </c>
      <c r="BP144" t="s">
        <v>432</v>
      </c>
    </row>
    <row r="145" spans="1:68" x14ac:dyDescent="0.35">
      <c r="A145" t="s">
        <v>434</v>
      </c>
      <c r="B145">
        <v>28734884.57</v>
      </c>
      <c r="C145">
        <v>0</v>
      </c>
      <c r="D145">
        <v>0</v>
      </c>
      <c r="E145">
        <v>0</v>
      </c>
      <c r="F145">
        <v>28734884.57</v>
      </c>
      <c r="G145">
        <v>28734884.57</v>
      </c>
      <c r="H145">
        <v>0</v>
      </c>
      <c r="I145">
        <v>0</v>
      </c>
      <c r="J145">
        <v>0</v>
      </c>
      <c r="K145">
        <v>28734884.57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28734884.57</v>
      </c>
      <c r="AG145">
        <v>0</v>
      </c>
      <c r="AH145">
        <v>0</v>
      </c>
      <c r="AI145">
        <v>0</v>
      </c>
      <c r="AJ145">
        <v>28734884.57</v>
      </c>
      <c r="AK145" t="s">
        <v>435</v>
      </c>
      <c r="AL145" t="s">
        <v>436</v>
      </c>
    </row>
    <row r="146" spans="1:68" x14ac:dyDescent="0.35">
      <c r="A146" t="s">
        <v>437</v>
      </c>
      <c r="B146">
        <v>7200000</v>
      </c>
      <c r="C146">
        <v>6889940.6399999997</v>
      </c>
      <c r="D146">
        <v>0</v>
      </c>
      <c r="E146">
        <v>6889940.6399999997</v>
      </c>
      <c r="F146">
        <v>310059.36</v>
      </c>
      <c r="G146">
        <v>7200000</v>
      </c>
      <c r="H146">
        <v>6889940.6399999997</v>
      </c>
      <c r="I146">
        <v>0</v>
      </c>
      <c r="J146">
        <v>6889940.6399999997</v>
      </c>
      <c r="K146">
        <v>310059.36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7200000</v>
      </c>
      <c r="AG146">
        <v>6889940.6399999997</v>
      </c>
      <c r="AH146">
        <v>0</v>
      </c>
      <c r="AI146">
        <v>6889940.6399999997</v>
      </c>
      <c r="AJ146">
        <v>310059.36</v>
      </c>
      <c r="AK146" t="s">
        <v>438</v>
      </c>
      <c r="AL146" t="s">
        <v>439</v>
      </c>
      <c r="AM146" t="s">
        <v>1361</v>
      </c>
      <c r="AN146">
        <v>0</v>
      </c>
      <c r="AO146">
        <v>6889941</v>
      </c>
      <c r="AP146">
        <v>-6889941</v>
      </c>
      <c r="AQ146">
        <v>0</v>
      </c>
      <c r="AR146">
        <v>0</v>
      </c>
      <c r="AS146">
        <v>6889941</v>
      </c>
      <c r="AT146">
        <v>-6889941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6889941</v>
      </c>
      <c r="BN146">
        <v>-6889941</v>
      </c>
      <c r="BO146">
        <v>0</v>
      </c>
      <c r="BP146" t="s">
        <v>438</v>
      </c>
    </row>
    <row r="147" spans="1:68" x14ac:dyDescent="0.35">
      <c r="A147" t="s">
        <v>440</v>
      </c>
      <c r="B147">
        <v>6000000</v>
      </c>
      <c r="C147">
        <v>0</v>
      </c>
      <c r="D147">
        <v>0</v>
      </c>
      <c r="E147">
        <v>0</v>
      </c>
      <c r="F147">
        <v>6000000</v>
      </c>
      <c r="G147">
        <v>6000000</v>
      </c>
      <c r="H147">
        <v>0</v>
      </c>
      <c r="I147">
        <v>0</v>
      </c>
      <c r="J147">
        <v>0</v>
      </c>
      <c r="K147">
        <v>6000000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6000000</v>
      </c>
      <c r="AG147">
        <v>0</v>
      </c>
      <c r="AH147">
        <v>0</v>
      </c>
      <c r="AI147">
        <v>0</v>
      </c>
      <c r="AJ147">
        <v>6000000</v>
      </c>
      <c r="AK147" t="s">
        <v>441</v>
      </c>
      <c r="AL147" t="s">
        <v>442</v>
      </c>
    </row>
    <row r="148" spans="1:68" x14ac:dyDescent="0.35">
      <c r="A148" t="s">
        <v>443</v>
      </c>
      <c r="B148">
        <v>20825000</v>
      </c>
      <c r="C148">
        <v>19825000</v>
      </c>
      <c r="D148">
        <v>634321.96</v>
      </c>
      <c r="E148">
        <v>20459321.960000001</v>
      </c>
      <c r="F148">
        <v>365678.04</v>
      </c>
      <c r="G148">
        <v>20825000</v>
      </c>
      <c r="H148">
        <v>19825000</v>
      </c>
      <c r="I148">
        <v>634321.96</v>
      </c>
      <c r="J148">
        <v>20459321.960000001</v>
      </c>
      <c r="K148">
        <v>365678.04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20825000</v>
      </c>
      <c r="AG148">
        <v>19825000</v>
      </c>
      <c r="AH148">
        <v>634321.96</v>
      </c>
      <c r="AI148">
        <v>20459321.960000001</v>
      </c>
      <c r="AJ148">
        <v>365678.04</v>
      </c>
      <c r="AK148" t="s">
        <v>444</v>
      </c>
      <c r="AL148" t="s">
        <v>445</v>
      </c>
      <c r="AM148" t="s">
        <v>1362</v>
      </c>
      <c r="AN148">
        <v>0</v>
      </c>
      <c r="AO148">
        <v>19825000</v>
      </c>
      <c r="AP148">
        <v>-19825000</v>
      </c>
      <c r="AQ148">
        <v>0</v>
      </c>
      <c r="AR148">
        <v>0</v>
      </c>
      <c r="AS148">
        <v>19825000</v>
      </c>
      <c r="AT148">
        <v>-19825000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19825000</v>
      </c>
      <c r="BN148">
        <v>-19825000</v>
      </c>
      <c r="BO148">
        <v>0</v>
      </c>
      <c r="BP148" t="s">
        <v>444</v>
      </c>
    </row>
    <row r="149" spans="1:68" x14ac:dyDescent="0.35">
      <c r="A149" t="s">
        <v>446</v>
      </c>
      <c r="B149">
        <v>88500000</v>
      </c>
      <c r="C149">
        <v>88500000</v>
      </c>
      <c r="D149">
        <v>0</v>
      </c>
      <c r="E149">
        <v>88500000</v>
      </c>
      <c r="F149">
        <v>0</v>
      </c>
      <c r="G149">
        <v>88500000</v>
      </c>
      <c r="H149">
        <v>88500000</v>
      </c>
      <c r="I149">
        <v>0</v>
      </c>
      <c r="J149">
        <v>88500000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88500000</v>
      </c>
      <c r="AG149">
        <v>88500000</v>
      </c>
      <c r="AH149">
        <v>0</v>
      </c>
      <c r="AI149">
        <v>88500000</v>
      </c>
      <c r="AJ149">
        <v>0</v>
      </c>
      <c r="AK149" t="s">
        <v>447</v>
      </c>
      <c r="AL149" t="s">
        <v>448</v>
      </c>
      <c r="AM149" t="s">
        <v>1363</v>
      </c>
      <c r="AN149">
        <v>0</v>
      </c>
      <c r="AO149">
        <v>88500000</v>
      </c>
      <c r="AP149">
        <v>-88500000</v>
      </c>
      <c r="AQ149">
        <v>0</v>
      </c>
      <c r="AR149">
        <v>0</v>
      </c>
      <c r="AS149">
        <v>88500000</v>
      </c>
      <c r="AT149">
        <v>-88500000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88500000</v>
      </c>
      <c r="BN149">
        <v>-88500000</v>
      </c>
      <c r="BO149">
        <v>0</v>
      </c>
      <c r="BP149" t="s">
        <v>447</v>
      </c>
    </row>
    <row r="150" spans="1:68" x14ac:dyDescent="0.35">
      <c r="A150" t="s">
        <v>449</v>
      </c>
      <c r="B150">
        <v>1000000</v>
      </c>
      <c r="C150">
        <v>836868.56</v>
      </c>
      <c r="D150">
        <v>0</v>
      </c>
      <c r="E150">
        <v>836868.56</v>
      </c>
      <c r="F150">
        <v>163131.44</v>
      </c>
      <c r="G150">
        <v>1000000</v>
      </c>
      <c r="H150">
        <v>836868.56</v>
      </c>
      <c r="I150">
        <v>0</v>
      </c>
      <c r="J150">
        <v>836868.56</v>
      </c>
      <c r="K150">
        <v>163131.44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1000000</v>
      </c>
      <c r="AG150">
        <v>836868.56</v>
      </c>
      <c r="AH150">
        <v>0</v>
      </c>
      <c r="AI150">
        <v>836868.56</v>
      </c>
      <c r="AJ150">
        <v>163131.44</v>
      </c>
      <c r="AK150" t="s">
        <v>450</v>
      </c>
      <c r="AL150" t="s">
        <v>451</v>
      </c>
      <c r="AM150" t="s">
        <v>1364</v>
      </c>
      <c r="AN150">
        <v>0</v>
      </c>
      <c r="AO150">
        <v>836869</v>
      </c>
      <c r="AP150">
        <v>-836869</v>
      </c>
      <c r="AQ150">
        <v>0</v>
      </c>
      <c r="AR150">
        <v>0</v>
      </c>
      <c r="AS150">
        <v>836869</v>
      </c>
      <c r="AT150">
        <v>-836869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836869</v>
      </c>
      <c r="BN150">
        <v>-836869</v>
      </c>
      <c r="BO150">
        <v>0</v>
      </c>
      <c r="BP150" t="s">
        <v>450</v>
      </c>
    </row>
    <row r="151" spans="1:68" x14ac:dyDescent="0.35">
      <c r="A151" t="s">
        <v>452</v>
      </c>
      <c r="B151">
        <v>26700000</v>
      </c>
      <c r="C151">
        <v>16416779.84</v>
      </c>
      <c r="D151">
        <v>0</v>
      </c>
      <c r="E151">
        <v>16416779.84</v>
      </c>
      <c r="F151">
        <v>10283220.16</v>
      </c>
      <c r="G151">
        <v>26700000</v>
      </c>
      <c r="H151">
        <v>16416779.84</v>
      </c>
      <c r="I151">
        <v>0</v>
      </c>
      <c r="J151">
        <v>16416779.84</v>
      </c>
      <c r="K151">
        <v>10283220.16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26700000</v>
      </c>
      <c r="AG151">
        <v>16416779.84</v>
      </c>
      <c r="AH151">
        <v>0</v>
      </c>
      <c r="AI151">
        <v>16416779.84</v>
      </c>
      <c r="AJ151">
        <v>10283220.16</v>
      </c>
      <c r="AK151" t="s">
        <v>453</v>
      </c>
      <c r="AL151" t="s">
        <v>454</v>
      </c>
      <c r="AM151" t="s">
        <v>1365</v>
      </c>
      <c r="AN151">
        <v>0</v>
      </c>
      <c r="AO151">
        <v>16416780</v>
      </c>
      <c r="AP151">
        <v>-16416780</v>
      </c>
      <c r="AQ151">
        <v>0</v>
      </c>
      <c r="AR151">
        <v>0</v>
      </c>
      <c r="AS151">
        <v>16416780</v>
      </c>
      <c r="AT151">
        <v>-16416780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16416780</v>
      </c>
      <c r="BN151">
        <v>-16416780</v>
      </c>
      <c r="BO151">
        <v>0</v>
      </c>
      <c r="BP151" t="s">
        <v>453</v>
      </c>
    </row>
    <row r="152" spans="1:68" x14ac:dyDescent="0.35">
      <c r="A152" t="s">
        <v>455</v>
      </c>
      <c r="B152">
        <v>5000000</v>
      </c>
      <c r="C152">
        <v>4859674.03</v>
      </c>
      <c r="D152">
        <v>0</v>
      </c>
      <c r="E152">
        <v>4859674.03</v>
      </c>
      <c r="F152">
        <v>140325.97</v>
      </c>
      <c r="G152">
        <v>5000000</v>
      </c>
      <c r="H152">
        <v>4859674.03</v>
      </c>
      <c r="I152">
        <v>0</v>
      </c>
      <c r="J152">
        <v>4859674.03</v>
      </c>
      <c r="K152">
        <v>140325.97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5000000</v>
      </c>
      <c r="AG152">
        <v>4859674.03</v>
      </c>
      <c r="AH152">
        <v>0</v>
      </c>
      <c r="AI152">
        <v>4859674.03</v>
      </c>
      <c r="AJ152">
        <v>140325.97</v>
      </c>
      <c r="AK152" t="s">
        <v>456</v>
      </c>
      <c r="AL152" t="s">
        <v>457</v>
      </c>
      <c r="AM152" t="s">
        <v>1366</v>
      </c>
      <c r="AN152">
        <v>0</v>
      </c>
      <c r="AO152">
        <v>4859674</v>
      </c>
      <c r="AP152">
        <v>-4859674</v>
      </c>
      <c r="AQ152">
        <v>0</v>
      </c>
      <c r="AR152">
        <v>0</v>
      </c>
      <c r="AS152">
        <v>4859674</v>
      </c>
      <c r="AT152">
        <v>-4859674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4859674</v>
      </c>
      <c r="BN152">
        <v>-4859674</v>
      </c>
      <c r="BO152">
        <v>0</v>
      </c>
      <c r="BP152" t="s">
        <v>456</v>
      </c>
    </row>
    <row r="153" spans="1:68" x14ac:dyDescent="0.35">
      <c r="A153" t="s">
        <v>458</v>
      </c>
      <c r="B153">
        <v>23000000</v>
      </c>
      <c r="C153">
        <v>13136885.449999999</v>
      </c>
      <c r="D153">
        <v>2347572.91</v>
      </c>
      <c r="E153">
        <v>15484458.359999999</v>
      </c>
      <c r="F153">
        <v>7515541.6399999997</v>
      </c>
      <c r="G153">
        <v>23000000</v>
      </c>
      <c r="H153">
        <v>13136885.449999999</v>
      </c>
      <c r="I153">
        <v>2347572.91</v>
      </c>
      <c r="J153">
        <v>15484458.359999999</v>
      </c>
      <c r="K153">
        <v>7515541.6399999997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23000000</v>
      </c>
      <c r="AG153">
        <v>13136885.449999999</v>
      </c>
      <c r="AH153">
        <v>2347572.91</v>
      </c>
      <c r="AI153">
        <v>15484458.359999999</v>
      </c>
      <c r="AJ153">
        <v>7515541.6399999997</v>
      </c>
      <c r="AK153" t="s">
        <v>459</v>
      </c>
      <c r="AL153" t="s">
        <v>460</v>
      </c>
      <c r="AM153" t="s">
        <v>1367</v>
      </c>
      <c r="AN153">
        <v>0</v>
      </c>
      <c r="AO153">
        <v>13136885</v>
      </c>
      <c r="AP153">
        <v>-13136885</v>
      </c>
      <c r="AQ153">
        <v>0</v>
      </c>
      <c r="AR153">
        <v>0</v>
      </c>
      <c r="AS153">
        <v>13136885</v>
      </c>
      <c r="AT153">
        <v>-13136885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13136885</v>
      </c>
      <c r="BN153">
        <v>-13136885</v>
      </c>
      <c r="BO153">
        <v>0</v>
      </c>
      <c r="BP153" t="s">
        <v>459</v>
      </c>
    </row>
    <row r="154" spans="1:68" x14ac:dyDescent="0.35">
      <c r="A154" t="s">
        <v>461</v>
      </c>
      <c r="B154">
        <v>12000000</v>
      </c>
      <c r="C154">
        <v>8388348.3399999999</v>
      </c>
      <c r="D154">
        <v>1318614.51</v>
      </c>
      <c r="E154">
        <v>9706962.8499999996</v>
      </c>
      <c r="F154">
        <v>2293037.15</v>
      </c>
      <c r="G154">
        <v>12000000</v>
      </c>
      <c r="H154">
        <v>8388348.3399999999</v>
      </c>
      <c r="I154">
        <v>1318614.51</v>
      </c>
      <c r="J154">
        <v>9706962.8499999996</v>
      </c>
      <c r="K154">
        <v>2293037.15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12000000</v>
      </c>
      <c r="AG154">
        <v>8388348.3399999999</v>
      </c>
      <c r="AH154">
        <v>1318614.51</v>
      </c>
      <c r="AI154">
        <v>9706962.8499999996</v>
      </c>
      <c r="AJ154">
        <v>2293037.15</v>
      </c>
      <c r="AK154" t="s">
        <v>462</v>
      </c>
      <c r="AL154" t="s">
        <v>463</v>
      </c>
      <c r="AM154" t="s">
        <v>1368</v>
      </c>
      <c r="AN154">
        <v>0</v>
      </c>
      <c r="AO154">
        <v>8388348</v>
      </c>
      <c r="AP154">
        <v>-8388348</v>
      </c>
      <c r="AQ154">
        <v>0</v>
      </c>
      <c r="AR154">
        <v>0</v>
      </c>
      <c r="AS154">
        <v>8388348</v>
      </c>
      <c r="AT154">
        <v>-8388348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8388348</v>
      </c>
      <c r="BN154">
        <v>-8388348</v>
      </c>
      <c r="BO154">
        <v>0</v>
      </c>
      <c r="BP154" t="s">
        <v>462</v>
      </c>
    </row>
    <row r="155" spans="1:68" x14ac:dyDescent="0.35">
      <c r="A155" t="s">
        <v>464</v>
      </c>
      <c r="B155">
        <v>1130000</v>
      </c>
      <c r="C155">
        <v>1117576.75</v>
      </c>
      <c r="D155">
        <v>0</v>
      </c>
      <c r="E155">
        <v>1117576.75</v>
      </c>
      <c r="F155">
        <v>12423.25</v>
      </c>
      <c r="G155">
        <v>1130000</v>
      </c>
      <c r="H155">
        <v>1117576.75</v>
      </c>
      <c r="I155">
        <v>0</v>
      </c>
      <c r="J155">
        <v>1117576.75</v>
      </c>
      <c r="K155">
        <v>12423.25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1130000</v>
      </c>
      <c r="AG155">
        <v>1117576.75</v>
      </c>
      <c r="AH155">
        <v>0</v>
      </c>
      <c r="AI155">
        <v>1117576.75</v>
      </c>
      <c r="AJ155">
        <v>12423.25</v>
      </c>
      <c r="AK155" t="s">
        <v>465</v>
      </c>
      <c r="AL155" t="s">
        <v>466</v>
      </c>
      <c r="AM155" t="s">
        <v>1369</v>
      </c>
      <c r="AN155">
        <v>0</v>
      </c>
      <c r="AO155">
        <v>1117577</v>
      </c>
      <c r="AP155">
        <v>-1117577</v>
      </c>
      <c r="AQ155">
        <v>0</v>
      </c>
      <c r="AR155">
        <v>0</v>
      </c>
      <c r="AS155">
        <v>1117577</v>
      </c>
      <c r="AT155">
        <v>-1117577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1117577</v>
      </c>
      <c r="BN155">
        <v>-1117577</v>
      </c>
      <c r="BO155">
        <v>0</v>
      </c>
      <c r="BP155" t="s">
        <v>465</v>
      </c>
    </row>
    <row r="156" spans="1:68" x14ac:dyDescent="0.35">
      <c r="A156" t="s">
        <v>467</v>
      </c>
      <c r="B156">
        <v>4795000</v>
      </c>
      <c r="C156">
        <v>4794560.7699999996</v>
      </c>
      <c r="D156">
        <v>0</v>
      </c>
      <c r="E156">
        <v>4794560.7699999996</v>
      </c>
      <c r="F156">
        <v>439.23</v>
      </c>
      <c r="G156">
        <v>4795000</v>
      </c>
      <c r="H156">
        <v>4794560.7699999996</v>
      </c>
      <c r="I156">
        <v>0</v>
      </c>
      <c r="J156">
        <v>4794560.7699999996</v>
      </c>
      <c r="K156">
        <v>439.23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4795000</v>
      </c>
      <c r="AG156">
        <v>4794560.7699999996</v>
      </c>
      <c r="AH156">
        <v>0</v>
      </c>
      <c r="AI156">
        <v>4794560.7699999996</v>
      </c>
      <c r="AJ156">
        <v>439.23</v>
      </c>
      <c r="AK156" t="s">
        <v>468</v>
      </c>
      <c r="AL156" t="s">
        <v>469</v>
      </c>
      <c r="AM156" t="s">
        <v>1370</v>
      </c>
      <c r="AN156">
        <v>0</v>
      </c>
      <c r="AO156">
        <v>4794561</v>
      </c>
      <c r="AP156">
        <v>-4794561</v>
      </c>
      <c r="AQ156">
        <v>0</v>
      </c>
      <c r="AR156">
        <v>0</v>
      </c>
      <c r="AS156">
        <v>4794561</v>
      </c>
      <c r="AT156">
        <v>-4794561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4794561</v>
      </c>
      <c r="BN156">
        <v>-4794561</v>
      </c>
      <c r="BO156">
        <v>0</v>
      </c>
      <c r="BP156" t="s">
        <v>468</v>
      </c>
    </row>
    <row r="157" spans="1:68" x14ac:dyDescent="0.35">
      <c r="A157" t="s">
        <v>470</v>
      </c>
      <c r="B157">
        <v>75400000</v>
      </c>
      <c r="C157">
        <v>23797528</v>
      </c>
      <c r="D157">
        <v>42550000</v>
      </c>
      <c r="E157">
        <v>66347528</v>
      </c>
      <c r="F157">
        <v>9052472</v>
      </c>
      <c r="G157">
        <v>75400000</v>
      </c>
      <c r="H157">
        <v>23797528</v>
      </c>
      <c r="I157">
        <v>42550000</v>
      </c>
      <c r="J157">
        <v>66347528</v>
      </c>
      <c r="K157">
        <v>9052472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75400000</v>
      </c>
      <c r="AG157">
        <v>23797528</v>
      </c>
      <c r="AH157">
        <v>42550000</v>
      </c>
      <c r="AI157">
        <v>66347528</v>
      </c>
      <c r="AJ157">
        <v>9052472</v>
      </c>
      <c r="AK157" t="s">
        <v>471</v>
      </c>
      <c r="AL157" t="s">
        <v>472</v>
      </c>
      <c r="AM157" t="s">
        <v>1371</v>
      </c>
      <c r="AN157">
        <v>0</v>
      </c>
      <c r="AO157">
        <v>23797528</v>
      </c>
      <c r="AP157">
        <v>-23797528</v>
      </c>
      <c r="AQ157">
        <v>0</v>
      </c>
      <c r="AR157">
        <v>0</v>
      </c>
      <c r="AS157">
        <v>23797528</v>
      </c>
      <c r="AT157">
        <v>-23797528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23797528</v>
      </c>
      <c r="BN157">
        <v>-23797528</v>
      </c>
      <c r="BO157">
        <v>0</v>
      </c>
      <c r="BP157" t="s">
        <v>471</v>
      </c>
    </row>
    <row r="158" spans="1:68" x14ac:dyDescent="0.35">
      <c r="A158" t="s">
        <v>473</v>
      </c>
      <c r="B158">
        <v>9250000</v>
      </c>
      <c r="C158">
        <v>9250000</v>
      </c>
      <c r="D158">
        <v>0</v>
      </c>
      <c r="E158">
        <v>9250000</v>
      </c>
      <c r="F158">
        <v>0</v>
      </c>
      <c r="G158">
        <v>9250000</v>
      </c>
      <c r="H158">
        <v>9250000</v>
      </c>
      <c r="I158">
        <v>0</v>
      </c>
      <c r="J158">
        <v>9250000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9250000</v>
      </c>
      <c r="AG158">
        <v>9250000</v>
      </c>
      <c r="AH158">
        <v>0</v>
      </c>
      <c r="AI158">
        <v>9250000</v>
      </c>
      <c r="AJ158">
        <v>0</v>
      </c>
      <c r="AK158" t="s">
        <v>474</v>
      </c>
      <c r="AL158" t="s">
        <v>475</v>
      </c>
      <c r="AM158" t="s">
        <v>1372</v>
      </c>
      <c r="AN158">
        <v>0</v>
      </c>
      <c r="AO158">
        <v>9250000</v>
      </c>
      <c r="AP158">
        <v>-9250000</v>
      </c>
      <c r="AQ158">
        <v>0</v>
      </c>
      <c r="AR158">
        <v>0</v>
      </c>
      <c r="AS158">
        <v>9250000</v>
      </c>
      <c r="AT158">
        <v>-9250000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9250000</v>
      </c>
      <c r="BN158">
        <v>-9250000</v>
      </c>
      <c r="BO158">
        <v>0</v>
      </c>
      <c r="BP158" t="s">
        <v>474</v>
      </c>
    </row>
    <row r="159" spans="1:68" x14ac:dyDescent="0.35">
      <c r="A159" t="s">
        <v>476</v>
      </c>
      <c r="B159">
        <v>12934000</v>
      </c>
      <c r="C159">
        <v>11953725</v>
      </c>
      <c r="D159">
        <v>0</v>
      </c>
      <c r="E159">
        <v>11953725</v>
      </c>
      <c r="F159">
        <v>980275</v>
      </c>
      <c r="G159">
        <v>12934000</v>
      </c>
      <c r="H159">
        <v>11953725</v>
      </c>
      <c r="I159">
        <v>0</v>
      </c>
      <c r="J159">
        <v>11953725</v>
      </c>
      <c r="K159">
        <v>980275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12934000</v>
      </c>
      <c r="AG159">
        <v>11953725</v>
      </c>
      <c r="AH159">
        <v>0</v>
      </c>
      <c r="AI159">
        <v>11953725</v>
      </c>
      <c r="AJ159">
        <v>980275</v>
      </c>
      <c r="AK159" t="s">
        <v>477</v>
      </c>
      <c r="AL159" t="s">
        <v>478</v>
      </c>
      <c r="AM159" t="s">
        <v>1373</v>
      </c>
      <c r="AN159">
        <v>0</v>
      </c>
      <c r="AO159">
        <v>11953725</v>
      </c>
      <c r="AP159">
        <v>-11953725</v>
      </c>
      <c r="AQ159">
        <v>0</v>
      </c>
      <c r="AR159">
        <v>0</v>
      </c>
      <c r="AS159">
        <v>11953725</v>
      </c>
      <c r="AT159">
        <v>-11953725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11953725</v>
      </c>
      <c r="BN159">
        <v>-11953725</v>
      </c>
      <c r="BO159">
        <v>0</v>
      </c>
      <c r="BP159" t="s">
        <v>477</v>
      </c>
    </row>
    <row r="160" spans="1:68" x14ac:dyDescent="0.35">
      <c r="A160" t="s">
        <v>479</v>
      </c>
      <c r="B160">
        <v>1600000</v>
      </c>
      <c r="C160">
        <v>962273.09</v>
      </c>
      <c r="D160">
        <v>0</v>
      </c>
      <c r="E160">
        <v>962273.09</v>
      </c>
      <c r="F160">
        <v>637726.91</v>
      </c>
      <c r="G160">
        <v>1600000</v>
      </c>
      <c r="H160">
        <v>962273.09</v>
      </c>
      <c r="I160">
        <v>0</v>
      </c>
      <c r="J160">
        <v>962273.09</v>
      </c>
      <c r="K160">
        <v>637726.91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1600000</v>
      </c>
      <c r="AG160">
        <v>962273.09</v>
      </c>
      <c r="AH160">
        <v>0</v>
      </c>
      <c r="AI160">
        <v>962273.09</v>
      </c>
      <c r="AJ160">
        <v>637726.91</v>
      </c>
      <c r="AK160" t="s">
        <v>480</v>
      </c>
      <c r="AL160" t="s">
        <v>481</v>
      </c>
      <c r="AM160" t="s">
        <v>1374</v>
      </c>
      <c r="AN160">
        <v>0</v>
      </c>
      <c r="AO160">
        <v>962273</v>
      </c>
      <c r="AP160">
        <v>-962273</v>
      </c>
      <c r="AQ160">
        <v>0</v>
      </c>
      <c r="AR160">
        <v>0</v>
      </c>
      <c r="AS160">
        <v>962273</v>
      </c>
      <c r="AT160">
        <v>-962273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962273</v>
      </c>
      <c r="BN160">
        <v>-962273</v>
      </c>
      <c r="BO160">
        <v>0</v>
      </c>
      <c r="BP160" t="s">
        <v>480</v>
      </c>
    </row>
    <row r="161" spans="1:68" x14ac:dyDescent="0.35">
      <c r="A161" t="s">
        <v>482</v>
      </c>
      <c r="B161">
        <v>3000000</v>
      </c>
      <c r="C161">
        <v>0</v>
      </c>
      <c r="D161">
        <v>0</v>
      </c>
      <c r="E161">
        <v>0</v>
      </c>
      <c r="F161">
        <v>3000000</v>
      </c>
      <c r="G161">
        <v>3000000</v>
      </c>
      <c r="H161">
        <v>0</v>
      </c>
      <c r="I161">
        <v>0</v>
      </c>
      <c r="J161">
        <v>0</v>
      </c>
      <c r="K161">
        <v>3000000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3000000</v>
      </c>
      <c r="AG161">
        <v>0</v>
      </c>
      <c r="AH161">
        <v>0</v>
      </c>
      <c r="AI161">
        <v>0</v>
      </c>
      <c r="AJ161">
        <v>3000000</v>
      </c>
      <c r="AK161" t="s">
        <v>483</v>
      </c>
      <c r="AL161" t="s">
        <v>484</v>
      </c>
    </row>
    <row r="162" spans="1:68" x14ac:dyDescent="0.35">
      <c r="A162" t="s">
        <v>485</v>
      </c>
      <c r="B162">
        <v>7150000</v>
      </c>
      <c r="C162">
        <v>7109356.3399999999</v>
      </c>
      <c r="D162">
        <v>0</v>
      </c>
      <c r="E162">
        <v>7109356.3399999999</v>
      </c>
      <c r="F162">
        <v>40643.660000000003</v>
      </c>
      <c r="G162">
        <v>7150000</v>
      </c>
      <c r="H162">
        <v>7109356.3399999999</v>
      </c>
      <c r="I162">
        <v>0</v>
      </c>
      <c r="J162">
        <v>7109356.3399999999</v>
      </c>
      <c r="K162">
        <v>40643.660000000003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7150000</v>
      </c>
      <c r="AG162">
        <v>7109356.3399999999</v>
      </c>
      <c r="AH162">
        <v>0</v>
      </c>
      <c r="AI162">
        <v>7109356.3399999999</v>
      </c>
      <c r="AJ162">
        <v>40643.660000000003</v>
      </c>
      <c r="AK162" t="s">
        <v>486</v>
      </c>
      <c r="AL162" t="s">
        <v>487</v>
      </c>
      <c r="AM162" t="s">
        <v>1375</v>
      </c>
      <c r="AN162">
        <v>0</v>
      </c>
      <c r="AO162">
        <v>7109356</v>
      </c>
      <c r="AP162">
        <v>-7109356</v>
      </c>
      <c r="AQ162">
        <v>0</v>
      </c>
      <c r="AR162">
        <v>0</v>
      </c>
      <c r="AS162">
        <v>7109356</v>
      </c>
      <c r="AT162">
        <v>-7109356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7109356</v>
      </c>
      <c r="BN162">
        <v>-7109356</v>
      </c>
      <c r="BO162">
        <v>0</v>
      </c>
      <c r="BP162" t="s">
        <v>486</v>
      </c>
    </row>
    <row r="163" spans="1:68" x14ac:dyDescent="0.35">
      <c r="A163" t="s">
        <v>488</v>
      </c>
      <c r="B163">
        <v>7000000</v>
      </c>
      <c r="C163">
        <v>7000000</v>
      </c>
      <c r="D163">
        <v>0</v>
      </c>
      <c r="E163">
        <v>7000000</v>
      </c>
      <c r="F163">
        <v>0</v>
      </c>
      <c r="G163">
        <v>7000000</v>
      </c>
      <c r="H163">
        <v>7000000</v>
      </c>
      <c r="I163">
        <v>0</v>
      </c>
      <c r="J163">
        <v>7000000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7000000</v>
      </c>
      <c r="AG163">
        <v>7000000</v>
      </c>
      <c r="AH163">
        <v>0</v>
      </c>
      <c r="AI163">
        <v>7000000</v>
      </c>
      <c r="AJ163">
        <v>0</v>
      </c>
      <c r="AK163" t="s">
        <v>489</v>
      </c>
      <c r="AL163" t="s">
        <v>490</v>
      </c>
      <c r="AM163" t="s">
        <v>1376</v>
      </c>
      <c r="AN163">
        <v>0</v>
      </c>
      <c r="AO163">
        <v>7000000</v>
      </c>
      <c r="AP163">
        <v>-7000000</v>
      </c>
      <c r="AQ163">
        <v>0</v>
      </c>
      <c r="AR163">
        <v>0</v>
      </c>
      <c r="AS163">
        <v>7000000</v>
      </c>
      <c r="AT163">
        <v>-7000000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7000000</v>
      </c>
      <c r="BN163">
        <v>-7000000</v>
      </c>
      <c r="BO163">
        <v>0</v>
      </c>
      <c r="BP163" t="s">
        <v>489</v>
      </c>
    </row>
    <row r="164" spans="1:68" x14ac:dyDescent="0.35">
      <c r="A164" t="s">
        <v>491</v>
      </c>
      <c r="B164">
        <v>1500000</v>
      </c>
      <c r="C164">
        <v>600000</v>
      </c>
      <c r="D164">
        <v>900000</v>
      </c>
      <c r="E164">
        <v>1500000</v>
      </c>
      <c r="F164">
        <v>0</v>
      </c>
      <c r="G164">
        <v>1500000</v>
      </c>
      <c r="H164">
        <v>600000</v>
      </c>
      <c r="I164">
        <v>900000</v>
      </c>
      <c r="J164">
        <v>1500000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1500000</v>
      </c>
      <c r="AG164">
        <v>600000</v>
      </c>
      <c r="AH164">
        <v>900000</v>
      </c>
      <c r="AI164">
        <v>1500000</v>
      </c>
      <c r="AJ164">
        <v>0</v>
      </c>
      <c r="AK164" t="s">
        <v>492</v>
      </c>
      <c r="AL164" t="s">
        <v>493</v>
      </c>
      <c r="AM164" t="s">
        <v>1377</v>
      </c>
      <c r="AN164">
        <v>0</v>
      </c>
      <c r="AO164">
        <v>600000</v>
      </c>
      <c r="AP164">
        <v>-600000</v>
      </c>
      <c r="AQ164">
        <v>0</v>
      </c>
      <c r="AR164">
        <v>0</v>
      </c>
      <c r="AS164">
        <v>600000</v>
      </c>
      <c r="AT164">
        <v>-600000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600000</v>
      </c>
      <c r="BN164">
        <v>-600000</v>
      </c>
      <c r="BO164">
        <v>0</v>
      </c>
      <c r="BP164" t="s">
        <v>492</v>
      </c>
    </row>
    <row r="165" spans="1:68" x14ac:dyDescent="0.35">
      <c r="A165" t="s">
        <v>494</v>
      </c>
      <c r="B165">
        <v>2000000</v>
      </c>
      <c r="C165">
        <v>0</v>
      </c>
      <c r="D165">
        <v>0</v>
      </c>
      <c r="E165">
        <v>0</v>
      </c>
      <c r="F165">
        <v>2000000</v>
      </c>
      <c r="G165">
        <v>2000000</v>
      </c>
      <c r="H165">
        <v>0</v>
      </c>
      <c r="I165">
        <v>0</v>
      </c>
      <c r="J165">
        <v>0</v>
      </c>
      <c r="K165">
        <v>2000000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2000000</v>
      </c>
      <c r="AG165">
        <v>0</v>
      </c>
      <c r="AH165">
        <v>0</v>
      </c>
      <c r="AI165">
        <v>0</v>
      </c>
      <c r="AJ165">
        <v>2000000</v>
      </c>
      <c r="AK165" t="s">
        <v>495</v>
      </c>
      <c r="AL165" t="s">
        <v>496</v>
      </c>
    </row>
    <row r="166" spans="1:68" x14ac:dyDescent="0.35">
      <c r="A166" t="s">
        <v>497</v>
      </c>
      <c r="B166">
        <v>5800000</v>
      </c>
      <c r="C166">
        <v>1736449.99</v>
      </c>
      <c r="D166">
        <v>3987770.36</v>
      </c>
      <c r="E166">
        <v>5724220.3499999996</v>
      </c>
      <c r="F166">
        <v>75779.649999999994</v>
      </c>
      <c r="G166">
        <v>5800000</v>
      </c>
      <c r="H166">
        <v>1736449.99</v>
      </c>
      <c r="I166">
        <v>3987770.36</v>
      </c>
      <c r="J166">
        <v>5724220.3499999996</v>
      </c>
      <c r="K166">
        <v>75779.649999999994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5800000</v>
      </c>
      <c r="AG166">
        <v>1736449.99</v>
      </c>
      <c r="AH166">
        <v>3987770.36</v>
      </c>
      <c r="AI166">
        <v>5724220.3499999996</v>
      </c>
      <c r="AJ166">
        <v>75779.649999999994</v>
      </c>
      <c r="AK166" t="s">
        <v>498</v>
      </c>
      <c r="AL166" t="s">
        <v>499</v>
      </c>
      <c r="AM166" t="s">
        <v>1378</v>
      </c>
      <c r="AN166">
        <v>0</v>
      </c>
      <c r="AO166">
        <v>1736450</v>
      </c>
      <c r="AP166">
        <v>-1736450</v>
      </c>
      <c r="AQ166">
        <v>0</v>
      </c>
      <c r="AR166">
        <v>0</v>
      </c>
      <c r="AS166">
        <v>1736450</v>
      </c>
      <c r="AT166">
        <v>-1736450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1736450</v>
      </c>
      <c r="BN166">
        <v>-1736450</v>
      </c>
      <c r="BO166">
        <v>0</v>
      </c>
      <c r="BP166" t="s">
        <v>498</v>
      </c>
    </row>
    <row r="167" spans="1:68" x14ac:dyDescent="0.35">
      <c r="A167" t="s">
        <v>500</v>
      </c>
      <c r="B167">
        <v>6000000</v>
      </c>
      <c r="C167">
        <v>1330560.17</v>
      </c>
      <c r="D167">
        <v>3793880.14</v>
      </c>
      <c r="E167">
        <v>5124440.3099999996</v>
      </c>
      <c r="F167">
        <v>875559.69</v>
      </c>
      <c r="G167">
        <v>6000000</v>
      </c>
      <c r="H167">
        <v>1330560.17</v>
      </c>
      <c r="I167">
        <v>3793880.14</v>
      </c>
      <c r="J167">
        <v>5124440.3099999996</v>
      </c>
      <c r="K167">
        <v>875559.69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6000000</v>
      </c>
      <c r="AG167">
        <v>1330560.17</v>
      </c>
      <c r="AH167">
        <v>3793880.14</v>
      </c>
      <c r="AI167">
        <v>5124440.3099999996</v>
      </c>
      <c r="AJ167">
        <v>875559.69</v>
      </c>
      <c r="AK167" t="s">
        <v>501</v>
      </c>
      <c r="AL167" t="s">
        <v>502</v>
      </c>
      <c r="AM167" t="s">
        <v>1379</v>
      </c>
      <c r="AN167">
        <v>0</v>
      </c>
      <c r="AO167">
        <v>1330560</v>
      </c>
      <c r="AP167">
        <v>-1330560</v>
      </c>
      <c r="AQ167">
        <v>0</v>
      </c>
      <c r="AR167">
        <v>0</v>
      </c>
      <c r="AS167">
        <v>1330560</v>
      </c>
      <c r="AT167">
        <v>-1330560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1330560</v>
      </c>
      <c r="BN167">
        <v>-1330560</v>
      </c>
      <c r="BO167">
        <v>0</v>
      </c>
      <c r="BP167" t="s">
        <v>501</v>
      </c>
    </row>
    <row r="168" spans="1:68" x14ac:dyDescent="0.35">
      <c r="A168" t="s">
        <v>503</v>
      </c>
      <c r="B168">
        <v>17600000</v>
      </c>
      <c r="C168">
        <v>5433343.9199999999</v>
      </c>
      <c r="D168">
        <v>2282181.87</v>
      </c>
      <c r="E168">
        <v>7715525.79</v>
      </c>
      <c r="F168">
        <v>9884474.2100000009</v>
      </c>
      <c r="G168">
        <v>17600000</v>
      </c>
      <c r="H168">
        <v>5433343.9199999999</v>
      </c>
      <c r="I168">
        <v>2282181.87</v>
      </c>
      <c r="J168">
        <v>7715525.79</v>
      </c>
      <c r="K168">
        <v>9884474.2100000009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17600000</v>
      </c>
      <c r="AG168">
        <v>5433343.9199999999</v>
      </c>
      <c r="AH168">
        <v>2282181.87</v>
      </c>
      <c r="AI168">
        <v>7715525.79</v>
      </c>
      <c r="AJ168">
        <v>9884474.2100000009</v>
      </c>
      <c r="AK168" t="s">
        <v>504</v>
      </c>
      <c r="AL168" t="s">
        <v>505</v>
      </c>
      <c r="AM168" t="s">
        <v>1380</v>
      </c>
      <c r="AN168">
        <v>0</v>
      </c>
      <c r="AO168">
        <v>5433344</v>
      </c>
      <c r="AP168">
        <v>-5433344</v>
      </c>
      <c r="AQ168">
        <v>0</v>
      </c>
      <c r="AR168">
        <v>0</v>
      </c>
      <c r="AS168">
        <v>5433344</v>
      </c>
      <c r="AT168">
        <v>-5433344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5433344</v>
      </c>
      <c r="BN168">
        <v>-5433344</v>
      </c>
      <c r="BO168">
        <v>0</v>
      </c>
      <c r="BP168" t="s">
        <v>504</v>
      </c>
    </row>
    <row r="169" spans="1:68" x14ac:dyDescent="0.35">
      <c r="A169" t="s">
        <v>506</v>
      </c>
      <c r="B169">
        <v>1000000</v>
      </c>
      <c r="C169">
        <v>940716.28</v>
      </c>
      <c r="D169">
        <v>0</v>
      </c>
      <c r="E169">
        <v>940716.28</v>
      </c>
      <c r="F169">
        <v>59283.72</v>
      </c>
      <c r="G169">
        <v>1000000</v>
      </c>
      <c r="H169">
        <v>940716.28</v>
      </c>
      <c r="I169">
        <v>0</v>
      </c>
      <c r="J169">
        <v>940716.28</v>
      </c>
      <c r="K169">
        <v>59283.72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1000000</v>
      </c>
      <c r="AG169">
        <v>940716.28</v>
      </c>
      <c r="AH169">
        <v>0</v>
      </c>
      <c r="AI169">
        <v>940716.28</v>
      </c>
      <c r="AJ169">
        <v>59283.72</v>
      </c>
      <c r="AK169" t="s">
        <v>507</v>
      </c>
      <c r="AL169" t="s">
        <v>508</v>
      </c>
      <c r="AM169" t="s">
        <v>1381</v>
      </c>
      <c r="AN169">
        <v>0</v>
      </c>
      <c r="AO169">
        <v>940716</v>
      </c>
      <c r="AP169">
        <v>-940716</v>
      </c>
      <c r="AQ169">
        <v>0</v>
      </c>
      <c r="AR169">
        <v>0</v>
      </c>
      <c r="AS169">
        <v>940716</v>
      </c>
      <c r="AT169">
        <v>-940716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940716</v>
      </c>
      <c r="BN169">
        <v>-940716</v>
      </c>
      <c r="BO169">
        <v>0</v>
      </c>
      <c r="BP169" t="s">
        <v>507</v>
      </c>
    </row>
    <row r="170" spans="1:68" x14ac:dyDescent="0.35">
      <c r="A170" t="s">
        <v>509</v>
      </c>
      <c r="B170">
        <v>600000</v>
      </c>
      <c r="C170">
        <v>489063.05</v>
      </c>
      <c r="D170">
        <v>0</v>
      </c>
      <c r="E170">
        <v>489063.05</v>
      </c>
      <c r="F170">
        <v>110936.95</v>
      </c>
      <c r="G170">
        <v>600000</v>
      </c>
      <c r="H170">
        <v>489063.05</v>
      </c>
      <c r="I170">
        <v>0</v>
      </c>
      <c r="J170">
        <v>489063.05</v>
      </c>
      <c r="K170">
        <v>110936.95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600000</v>
      </c>
      <c r="AG170">
        <v>489063.05</v>
      </c>
      <c r="AH170">
        <v>0</v>
      </c>
      <c r="AI170">
        <v>489063.05</v>
      </c>
      <c r="AJ170">
        <v>110936.95</v>
      </c>
      <c r="AK170" t="s">
        <v>510</v>
      </c>
      <c r="AL170" t="s">
        <v>511</v>
      </c>
      <c r="AM170" t="s">
        <v>1382</v>
      </c>
      <c r="AN170">
        <v>0</v>
      </c>
      <c r="AO170">
        <v>489063</v>
      </c>
      <c r="AP170">
        <v>-489063</v>
      </c>
      <c r="AQ170">
        <v>0</v>
      </c>
      <c r="AR170">
        <v>0</v>
      </c>
      <c r="AS170">
        <v>489063</v>
      </c>
      <c r="AT170">
        <v>-489063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489063</v>
      </c>
      <c r="BN170">
        <v>-489063</v>
      </c>
      <c r="BO170">
        <v>0</v>
      </c>
      <c r="BP170" t="s">
        <v>510</v>
      </c>
    </row>
    <row r="171" spans="1:68" x14ac:dyDescent="0.35">
      <c r="A171" t="s">
        <v>512</v>
      </c>
      <c r="B171">
        <v>23650000</v>
      </c>
      <c r="C171">
        <v>21198557.859999999</v>
      </c>
      <c r="D171">
        <v>0</v>
      </c>
      <c r="E171">
        <v>21198557.859999999</v>
      </c>
      <c r="F171">
        <v>2451442.14</v>
      </c>
      <c r="G171">
        <v>23650000</v>
      </c>
      <c r="H171">
        <v>21198557.859999999</v>
      </c>
      <c r="I171">
        <v>0</v>
      </c>
      <c r="J171">
        <v>21198557.859999999</v>
      </c>
      <c r="K171">
        <v>2451442.14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23650000</v>
      </c>
      <c r="AG171">
        <v>21198557.859999999</v>
      </c>
      <c r="AH171">
        <v>0</v>
      </c>
      <c r="AI171">
        <v>21198557.859999999</v>
      </c>
      <c r="AJ171">
        <v>2451442.14</v>
      </c>
      <c r="AK171" t="s">
        <v>513</v>
      </c>
      <c r="AL171" t="s">
        <v>514</v>
      </c>
      <c r="AM171" t="s">
        <v>1383</v>
      </c>
      <c r="AN171">
        <v>0</v>
      </c>
      <c r="AO171">
        <v>21198558</v>
      </c>
      <c r="AP171">
        <v>-21198558</v>
      </c>
      <c r="AQ171">
        <v>0</v>
      </c>
      <c r="AR171">
        <v>0</v>
      </c>
      <c r="AS171">
        <v>21198558</v>
      </c>
      <c r="AT171">
        <v>-21198558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21198558</v>
      </c>
      <c r="BN171">
        <v>-21198558</v>
      </c>
      <c r="BO171">
        <v>0</v>
      </c>
      <c r="BP171" t="s">
        <v>513</v>
      </c>
    </row>
    <row r="172" spans="1:68" x14ac:dyDescent="0.35">
      <c r="A172" t="s">
        <v>515</v>
      </c>
      <c r="B172">
        <v>1500000</v>
      </c>
      <c r="C172">
        <v>0</v>
      </c>
      <c r="D172">
        <v>1344805.92</v>
      </c>
      <c r="E172">
        <v>1344805.92</v>
      </c>
      <c r="F172">
        <v>155194.07999999999</v>
      </c>
      <c r="G172">
        <v>1500000</v>
      </c>
      <c r="H172">
        <v>0</v>
      </c>
      <c r="I172">
        <v>1344805.92</v>
      </c>
      <c r="J172">
        <v>1344805.92</v>
      </c>
      <c r="K172">
        <v>155194.07999999999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1500000</v>
      </c>
      <c r="AG172">
        <v>0</v>
      </c>
      <c r="AH172">
        <v>1344805.92</v>
      </c>
      <c r="AI172">
        <v>1344805.92</v>
      </c>
      <c r="AJ172">
        <v>155194.07999999999</v>
      </c>
      <c r="AK172" t="s">
        <v>516</v>
      </c>
      <c r="AL172" t="s">
        <v>517</v>
      </c>
    </row>
    <row r="173" spans="1:68" x14ac:dyDescent="0.35">
      <c r="A173" t="s">
        <v>518</v>
      </c>
      <c r="B173">
        <v>3000000</v>
      </c>
      <c r="C173">
        <v>0</v>
      </c>
      <c r="D173">
        <v>0</v>
      </c>
      <c r="E173">
        <v>0</v>
      </c>
      <c r="F173">
        <v>3000000</v>
      </c>
      <c r="G173">
        <v>3000000</v>
      </c>
      <c r="H173">
        <v>0</v>
      </c>
      <c r="I173">
        <v>0</v>
      </c>
      <c r="J173">
        <v>0</v>
      </c>
      <c r="K173">
        <v>3000000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3000000</v>
      </c>
      <c r="AG173">
        <v>0</v>
      </c>
      <c r="AH173">
        <v>0</v>
      </c>
      <c r="AI173">
        <v>0</v>
      </c>
      <c r="AJ173">
        <v>3000000</v>
      </c>
      <c r="AK173" t="s">
        <v>519</v>
      </c>
      <c r="AL173" t="s">
        <v>520</v>
      </c>
    </row>
    <row r="174" spans="1:68" x14ac:dyDescent="0.35">
      <c r="A174" t="s">
        <v>521</v>
      </c>
      <c r="B174">
        <v>500000</v>
      </c>
      <c r="C174">
        <v>445250</v>
      </c>
      <c r="D174">
        <v>33000</v>
      </c>
      <c r="E174">
        <v>478250</v>
      </c>
      <c r="F174">
        <v>21750</v>
      </c>
      <c r="G174">
        <v>500000</v>
      </c>
      <c r="H174">
        <v>445250</v>
      </c>
      <c r="I174">
        <v>33000</v>
      </c>
      <c r="J174">
        <v>478250</v>
      </c>
      <c r="K174">
        <v>21750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500000</v>
      </c>
      <c r="AG174">
        <v>445250</v>
      </c>
      <c r="AH174">
        <v>33000</v>
      </c>
      <c r="AI174">
        <v>478250</v>
      </c>
      <c r="AJ174">
        <v>21750</v>
      </c>
      <c r="AK174" t="s">
        <v>522</v>
      </c>
      <c r="AL174" t="s">
        <v>523</v>
      </c>
      <c r="AM174" t="s">
        <v>1384</v>
      </c>
      <c r="AN174">
        <v>0</v>
      </c>
      <c r="AO174">
        <v>445250</v>
      </c>
      <c r="AP174">
        <v>-445250</v>
      </c>
      <c r="AQ174">
        <v>0</v>
      </c>
      <c r="AR174">
        <v>0</v>
      </c>
      <c r="AS174">
        <v>445250</v>
      </c>
      <c r="AT174">
        <v>-445250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445250</v>
      </c>
      <c r="BN174">
        <v>-445250</v>
      </c>
      <c r="BO174">
        <v>0</v>
      </c>
      <c r="BP174" t="s">
        <v>522</v>
      </c>
    </row>
    <row r="175" spans="1:68" x14ac:dyDescent="0.35">
      <c r="A175" t="s">
        <v>524</v>
      </c>
      <c r="B175">
        <v>9000000</v>
      </c>
      <c r="C175">
        <v>4872361.37</v>
      </c>
      <c r="D175">
        <v>1289659.67</v>
      </c>
      <c r="E175">
        <v>6162021.04</v>
      </c>
      <c r="F175">
        <v>2837978.96</v>
      </c>
      <c r="G175">
        <v>9000000</v>
      </c>
      <c r="H175">
        <v>4872361.37</v>
      </c>
      <c r="I175">
        <v>1289659.67</v>
      </c>
      <c r="J175">
        <v>6162021.04</v>
      </c>
      <c r="K175">
        <v>2837978.96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9000000</v>
      </c>
      <c r="AG175">
        <v>4872361.37</v>
      </c>
      <c r="AH175">
        <v>1289659.67</v>
      </c>
      <c r="AI175">
        <v>6162021.04</v>
      </c>
      <c r="AJ175">
        <v>2837978.96</v>
      </c>
      <c r="AK175" t="s">
        <v>525</v>
      </c>
      <c r="AL175" t="s">
        <v>526</v>
      </c>
      <c r="AM175" t="s">
        <v>1385</v>
      </c>
      <c r="AN175">
        <v>0</v>
      </c>
      <c r="AO175">
        <v>4872361</v>
      </c>
      <c r="AP175">
        <v>-4872361</v>
      </c>
      <c r="AQ175">
        <v>0</v>
      </c>
      <c r="AR175">
        <v>0</v>
      </c>
      <c r="AS175">
        <v>4872361</v>
      </c>
      <c r="AT175">
        <v>-4872361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4872361</v>
      </c>
      <c r="BN175">
        <v>-4872361</v>
      </c>
      <c r="BO175">
        <v>0</v>
      </c>
      <c r="BP175" t="s">
        <v>525</v>
      </c>
    </row>
    <row r="176" spans="1:68" x14ac:dyDescent="0.35">
      <c r="A176" t="s">
        <v>527</v>
      </c>
      <c r="B176">
        <v>2175000</v>
      </c>
      <c r="C176">
        <v>0</v>
      </c>
      <c r="D176">
        <v>0</v>
      </c>
      <c r="E176">
        <v>0</v>
      </c>
      <c r="F176">
        <v>2175000</v>
      </c>
      <c r="G176">
        <v>2175000</v>
      </c>
      <c r="H176">
        <v>0</v>
      </c>
      <c r="I176">
        <v>0</v>
      </c>
      <c r="J176">
        <v>0</v>
      </c>
      <c r="K176">
        <v>2175000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2175000</v>
      </c>
      <c r="AG176">
        <v>0</v>
      </c>
      <c r="AH176">
        <v>0</v>
      </c>
      <c r="AI176">
        <v>0</v>
      </c>
      <c r="AJ176">
        <v>2175000</v>
      </c>
      <c r="AK176" t="s">
        <v>528</v>
      </c>
      <c r="AL176" t="s">
        <v>529</v>
      </c>
    </row>
    <row r="177" spans="1:68" x14ac:dyDescent="0.35">
      <c r="A177" t="s">
        <v>530</v>
      </c>
      <c r="B177">
        <v>500000</v>
      </c>
      <c r="C177">
        <v>0</v>
      </c>
      <c r="D177">
        <v>0</v>
      </c>
      <c r="E177">
        <v>0</v>
      </c>
      <c r="F177">
        <v>500000</v>
      </c>
      <c r="G177">
        <v>500000</v>
      </c>
      <c r="H177">
        <v>0</v>
      </c>
      <c r="I177">
        <v>0</v>
      </c>
      <c r="J177">
        <v>0</v>
      </c>
      <c r="K177">
        <v>500000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500000</v>
      </c>
      <c r="AG177">
        <v>0</v>
      </c>
      <c r="AH177">
        <v>0</v>
      </c>
      <c r="AI177">
        <v>0</v>
      </c>
      <c r="AJ177">
        <v>500000</v>
      </c>
      <c r="AK177" t="s">
        <v>531</v>
      </c>
      <c r="AL177" t="s">
        <v>532</v>
      </c>
      <c r="AM177" t="s">
        <v>1386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531</v>
      </c>
    </row>
    <row r="178" spans="1:68" x14ac:dyDescent="0.35">
      <c r="A178" t="s">
        <v>533</v>
      </c>
      <c r="B178">
        <v>2600000</v>
      </c>
      <c r="C178">
        <v>2539780</v>
      </c>
      <c r="D178">
        <v>0</v>
      </c>
      <c r="E178">
        <v>2539780</v>
      </c>
      <c r="F178">
        <v>60220</v>
      </c>
      <c r="G178">
        <v>2600000</v>
      </c>
      <c r="H178">
        <v>2539780</v>
      </c>
      <c r="I178">
        <v>0</v>
      </c>
      <c r="J178">
        <v>2539780</v>
      </c>
      <c r="K178">
        <v>60220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2600000</v>
      </c>
      <c r="AG178">
        <v>2539780</v>
      </c>
      <c r="AH178">
        <v>0</v>
      </c>
      <c r="AI178">
        <v>2539780</v>
      </c>
      <c r="AJ178">
        <v>60220</v>
      </c>
      <c r="AK178" t="s">
        <v>534</v>
      </c>
      <c r="AL178" t="s">
        <v>535</v>
      </c>
      <c r="AM178" t="s">
        <v>1387</v>
      </c>
      <c r="AN178">
        <v>0</v>
      </c>
      <c r="AO178">
        <v>2539780</v>
      </c>
      <c r="AP178">
        <v>-2539780</v>
      </c>
      <c r="AQ178">
        <v>0</v>
      </c>
      <c r="AR178">
        <v>0</v>
      </c>
      <c r="AS178">
        <v>2539780</v>
      </c>
      <c r="AT178">
        <v>-2539780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2539780</v>
      </c>
      <c r="BN178">
        <v>-2539780</v>
      </c>
      <c r="BO178">
        <v>0</v>
      </c>
      <c r="BP178" t="s">
        <v>534</v>
      </c>
    </row>
    <row r="179" spans="1:68" x14ac:dyDescent="0.35">
      <c r="A179" t="s">
        <v>536</v>
      </c>
      <c r="B179">
        <v>4000000</v>
      </c>
      <c r="C179">
        <v>4000000</v>
      </c>
      <c r="D179">
        <v>0</v>
      </c>
      <c r="E179">
        <v>4000000</v>
      </c>
      <c r="F179">
        <v>0</v>
      </c>
      <c r="G179">
        <v>4000000</v>
      </c>
      <c r="H179">
        <v>4000000</v>
      </c>
      <c r="I179">
        <v>0</v>
      </c>
      <c r="J179">
        <v>4000000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4000000</v>
      </c>
      <c r="AG179">
        <v>4000000</v>
      </c>
      <c r="AH179">
        <v>0</v>
      </c>
      <c r="AI179">
        <v>4000000</v>
      </c>
      <c r="AJ179">
        <v>0</v>
      </c>
      <c r="AK179" t="s">
        <v>537</v>
      </c>
      <c r="AL179" t="s">
        <v>538</v>
      </c>
      <c r="AM179" t="s">
        <v>1388</v>
      </c>
      <c r="AN179">
        <v>0</v>
      </c>
      <c r="AO179">
        <v>4000000</v>
      </c>
      <c r="AP179">
        <v>-4000000</v>
      </c>
      <c r="AQ179">
        <v>0</v>
      </c>
      <c r="AR179">
        <v>0</v>
      </c>
      <c r="AS179">
        <v>4000000</v>
      </c>
      <c r="AT179">
        <v>-4000000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4000000</v>
      </c>
      <c r="BN179">
        <v>-4000000</v>
      </c>
      <c r="BO179">
        <v>0</v>
      </c>
      <c r="BP179" t="s">
        <v>537</v>
      </c>
    </row>
    <row r="180" spans="1:68" x14ac:dyDescent="0.35">
      <c r="A180" t="s">
        <v>539</v>
      </c>
      <c r="B180">
        <v>13833000</v>
      </c>
      <c r="C180">
        <v>13833000</v>
      </c>
      <c r="D180">
        <v>0</v>
      </c>
      <c r="E180">
        <v>13833000</v>
      </c>
      <c r="F180">
        <v>0</v>
      </c>
      <c r="G180">
        <v>13833000</v>
      </c>
      <c r="H180">
        <v>13833000</v>
      </c>
      <c r="I180">
        <v>0</v>
      </c>
      <c r="J180">
        <v>13833000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13833000</v>
      </c>
      <c r="AG180">
        <v>13833000</v>
      </c>
      <c r="AH180">
        <v>0</v>
      </c>
      <c r="AI180">
        <v>13833000</v>
      </c>
      <c r="AJ180">
        <v>0</v>
      </c>
      <c r="AK180" t="s">
        <v>540</v>
      </c>
      <c r="AL180" t="s">
        <v>541</v>
      </c>
      <c r="AM180" t="s">
        <v>1389</v>
      </c>
      <c r="AN180">
        <v>0</v>
      </c>
      <c r="AO180">
        <v>13833000</v>
      </c>
      <c r="AP180">
        <v>-13833000</v>
      </c>
      <c r="AQ180">
        <v>0</v>
      </c>
      <c r="AR180">
        <v>0</v>
      </c>
      <c r="AS180">
        <v>13833000</v>
      </c>
      <c r="AT180">
        <v>-13833000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13833000</v>
      </c>
      <c r="BN180">
        <v>-13833000</v>
      </c>
      <c r="BO180">
        <v>0</v>
      </c>
      <c r="BP180" t="s">
        <v>540</v>
      </c>
    </row>
    <row r="181" spans="1:68" x14ac:dyDescent="0.35">
      <c r="A181" t="s">
        <v>542</v>
      </c>
      <c r="B181">
        <v>6000000</v>
      </c>
      <c r="C181">
        <v>0</v>
      </c>
      <c r="D181">
        <v>0</v>
      </c>
      <c r="E181">
        <v>0</v>
      </c>
      <c r="F181">
        <v>6000000</v>
      </c>
      <c r="G181">
        <v>6000000</v>
      </c>
      <c r="H181">
        <v>0</v>
      </c>
      <c r="I181">
        <v>0</v>
      </c>
      <c r="J181">
        <v>0</v>
      </c>
      <c r="K181">
        <v>6000000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6000000</v>
      </c>
      <c r="AG181">
        <v>0</v>
      </c>
      <c r="AH181">
        <v>0</v>
      </c>
      <c r="AI181">
        <v>0</v>
      </c>
      <c r="AJ181">
        <v>6000000</v>
      </c>
      <c r="AK181" t="s">
        <v>543</v>
      </c>
      <c r="AL181" t="s">
        <v>544</v>
      </c>
    </row>
    <row r="182" spans="1:68" x14ac:dyDescent="0.35">
      <c r="A182" t="s">
        <v>545</v>
      </c>
      <c r="B182">
        <v>3500000</v>
      </c>
      <c r="C182">
        <v>3500000</v>
      </c>
      <c r="D182">
        <v>0</v>
      </c>
      <c r="E182">
        <v>3500000</v>
      </c>
      <c r="F182">
        <v>0</v>
      </c>
      <c r="G182">
        <v>3500000</v>
      </c>
      <c r="H182">
        <v>3500000</v>
      </c>
      <c r="I182">
        <v>0</v>
      </c>
      <c r="J182">
        <v>3500000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3500000</v>
      </c>
      <c r="AG182">
        <v>3500000</v>
      </c>
      <c r="AH182">
        <v>0</v>
      </c>
      <c r="AI182">
        <v>3500000</v>
      </c>
      <c r="AJ182">
        <v>0</v>
      </c>
      <c r="AK182" t="s">
        <v>546</v>
      </c>
      <c r="AL182" t="s">
        <v>547</v>
      </c>
      <c r="AM182" t="s">
        <v>1390</v>
      </c>
      <c r="AN182">
        <v>0</v>
      </c>
      <c r="AO182">
        <v>3500000</v>
      </c>
      <c r="AP182">
        <v>-3500000</v>
      </c>
      <c r="AQ182">
        <v>0</v>
      </c>
      <c r="AR182">
        <v>0</v>
      </c>
      <c r="AS182">
        <v>3500000</v>
      </c>
      <c r="AT182">
        <v>-3500000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3500000</v>
      </c>
      <c r="BN182">
        <v>-3500000</v>
      </c>
      <c r="BO182">
        <v>0</v>
      </c>
      <c r="BP182" t="s">
        <v>546</v>
      </c>
    </row>
    <row r="183" spans="1:68" x14ac:dyDescent="0.35">
      <c r="A183" t="s">
        <v>548</v>
      </c>
      <c r="B183">
        <v>1000000</v>
      </c>
      <c r="C183">
        <v>50150</v>
      </c>
      <c r="D183">
        <v>0</v>
      </c>
      <c r="E183">
        <v>50150</v>
      </c>
      <c r="F183">
        <v>949850</v>
      </c>
      <c r="G183">
        <v>1000000</v>
      </c>
      <c r="H183">
        <v>50150</v>
      </c>
      <c r="I183">
        <v>0</v>
      </c>
      <c r="J183">
        <v>50150</v>
      </c>
      <c r="K183">
        <v>949850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1000000</v>
      </c>
      <c r="AG183">
        <v>50150</v>
      </c>
      <c r="AH183">
        <v>0</v>
      </c>
      <c r="AI183">
        <v>50150</v>
      </c>
      <c r="AJ183">
        <v>949850</v>
      </c>
      <c r="AK183" t="s">
        <v>549</v>
      </c>
      <c r="AL183" t="s">
        <v>550</v>
      </c>
      <c r="AM183" t="s">
        <v>1391</v>
      </c>
      <c r="AN183">
        <v>0</v>
      </c>
      <c r="AO183">
        <v>50150</v>
      </c>
      <c r="AP183">
        <v>-50150</v>
      </c>
      <c r="AQ183">
        <v>0</v>
      </c>
      <c r="AR183">
        <v>0</v>
      </c>
      <c r="AS183">
        <v>50150</v>
      </c>
      <c r="AT183">
        <v>-50150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50150</v>
      </c>
      <c r="BN183">
        <v>-50150</v>
      </c>
      <c r="BO183">
        <v>0</v>
      </c>
      <c r="BP183" t="s">
        <v>549</v>
      </c>
    </row>
    <row r="184" spans="1:68" x14ac:dyDescent="0.35">
      <c r="A184" t="s">
        <v>551</v>
      </c>
      <c r="B184">
        <v>1000000</v>
      </c>
      <c r="C184">
        <v>1000000</v>
      </c>
      <c r="D184">
        <v>0</v>
      </c>
      <c r="E184">
        <v>1000000</v>
      </c>
      <c r="F184">
        <v>0</v>
      </c>
      <c r="G184">
        <v>1000000</v>
      </c>
      <c r="H184">
        <v>1000000</v>
      </c>
      <c r="I184">
        <v>0</v>
      </c>
      <c r="J184">
        <v>1000000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1000000</v>
      </c>
      <c r="AG184">
        <v>1000000</v>
      </c>
      <c r="AH184">
        <v>0</v>
      </c>
      <c r="AI184">
        <v>1000000</v>
      </c>
      <c r="AJ184">
        <v>0</v>
      </c>
      <c r="AK184" t="s">
        <v>552</v>
      </c>
      <c r="AL184" t="s">
        <v>553</v>
      </c>
      <c r="AM184" t="s">
        <v>1392</v>
      </c>
      <c r="AN184">
        <v>0</v>
      </c>
      <c r="AO184">
        <v>1000000</v>
      </c>
      <c r="AP184">
        <v>-1000000</v>
      </c>
      <c r="AQ184">
        <v>0</v>
      </c>
      <c r="AR184">
        <v>0</v>
      </c>
      <c r="AS184">
        <v>1000000</v>
      </c>
      <c r="AT184">
        <v>-1000000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1000000</v>
      </c>
      <c r="BN184">
        <v>-1000000</v>
      </c>
      <c r="BO184">
        <v>0</v>
      </c>
      <c r="BP184" t="s">
        <v>552</v>
      </c>
    </row>
    <row r="185" spans="1:68" x14ac:dyDescent="0.35">
      <c r="A185" t="s">
        <v>554</v>
      </c>
      <c r="B185">
        <v>4500000</v>
      </c>
      <c r="C185">
        <v>3476252.9</v>
      </c>
      <c r="D185">
        <v>851578.59</v>
      </c>
      <c r="E185">
        <v>4327831.49</v>
      </c>
      <c r="F185">
        <v>172168.51</v>
      </c>
      <c r="G185">
        <v>4500000</v>
      </c>
      <c r="H185">
        <v>3476252.9</v>
      </c>
      <c r="I185">
        <v>851578.59</v>
      </c>
      <c r="J185">
        <v>4327831.49</v>
      </c>
      <c r="K185">
        <v>172168.51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4500000</v>
      </c>
      <c r="AG185">
        <v>3476252.9</v>
      </c>
      <c r="AH185">
        <v>851578.59</v>
      </c>
      <c r="AI185">
        <v>4327831.49</v>
      </c>
      <c r="AJ185">
        <v>172168.51</v>
      </c>
      <c r="AK185" t="s">
        <v>555</v>
      </c>
      <c r="AL185" t="s">
        <v>556</v>
      </c>
      <c r="AM185" t="s">
        <v>1393</v>
      </c>
      <c r="AN185">
        <v>0</v>
      </c>
      <c r="AO185">
        <v>3476253</v>
      </c>
      <c r="AP185">
        <v>-3476253</v>
      </c>
      <c r="AQ185">
        <v>0</v>
      </c>
      <c r="AR185">
        <v>0</v>
      </c>
      <c r="AS185">
        <v>3476253</v>
      </c>
      <c r="AT185">
        <v>-3476253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3476253</v>
      </c>
      <c r="BN185">
        <v>-3476253</v>
      </c>
      <c r="BO185">
        <v>0</v>
      </c>
      <c r="BP185" t="s">
        <v>555</v>
      </c>
    </row>
    <row r="186" spans="1:68" x14ac:dyDescent="0.35">
      <c r="A186" t="s">
        <v>557</v>
      </c>
      <c r="B186">
        <v>2500000</v>
      </c>
      <c r="C186">
        <v>0</v>
      </c>
      <c r="D186">
        <v>1598450.05</v>
      </c>
      <c r="E186">
        <v>1598450.05</v>
      </c>
      <c r="F186">
        <v>901549.95</v>
      </c>
      <c r="G186">
        <v>2500000</v>
      </c>
      <c r="H186">
        <v>0</v>
      </c>
      <c r="I186">
        <v>1598450.05</v>
      </c>
      <c r="J186">
        <v>1598450.05</v>
      </c>
      <c r="K186">
        <v>901549.95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2500000</v>
      </c>
      <c r="AG186">
        <v>0</v>
      </c>
      <c r="AH186">
        <v>1598450.05</v>
      </c>
      <c r="AI186">
        <v>1598450.05</v>
      </c>
      <c r="AJ186">
        <v>901549.95</v>
      </c>
      <c r="AK186" t="s">
        <v>558</v>
      </c>
      <c r="AL186" t="s">
        <v>559</v>
      </c>
    </row>
    <row r="187" spans="1:68" x14ac:dyDescent="0.35">
      <c r="A187" t="s">
        <v>560</v>
      </c>
      <c r="B187">
        <v>2500000</v>
      </c>
      <c r="C187">
        <v>0</v>
      </c>
      <c r="D187">
        <v>2058541.98</v>
      </c>
      <c r="E187">
        <v>2058541.98</v>
      </c>
      <c r="F187">
        <v>441458.02</v>
      </c>
      <c r="G187">
        <v>2500000</v>
      </c>
      <c r="H187">
        <v>0</v>
      </c>
      <c r="I187">
        <v>2058541.98</v>
      </c>
      <c r="J187">
        <v>2058541.98</v>
      </c>
      <c r="K187">
        <v>441458.02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2500000</v>
      </c>
      <c r="AG187">
        <v>0</v>
      </c>
      <c r="AH187">
        <v>2058541.98</v>
      </c>
      <c r="AI187">
        <v>2058541.98</v>
      </c>
      <c r="AJ187">
        <v>441458.02</v>
      </c>
      <c r="AK187" t="s">
        <v>561</v>
      </c>
      <c r="AL187" t="s">
        <v>562</v>
      </c>
    </row>
    <row r="188" spans="1:68" x14ac:dyDescent="0.35">
      <c r="A188" t="s">
        <v>563</v>
      </c>
      <c r="B188">
        <v>2500000</v>
      </c>
      <c r="C188">
        <v>0</v>
      </c>
      <c r="D188">
        <v>361938.9</v>
      </c>
      <c r="E188">
        <v>361938.9</v>
      </c>
      <c r="F188">
        <v>2138061.1</v>
      </c>
      <c r="G188">
        <v>2500000</v>
      </c>
      <c r="H188">
        <v>0</v>
      </c>
      <c r="I188">
        <v>361938.9</v>
      </c>
      <c r="J188">
        <v>361938.9</v>
      </c>
      <c r="K188">
        <v>2138061.1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2500000</v>
      </c>
      <c r="AG188">
        <v>0</v>
      </c>
      <c r="AH188">
        <v>361938.9</v>
      </c>
      <c r="AI188">
        <v>361938.9</v>
      </c>
      <c r="AJ188">
        <v>2138061.1</v>
      </c>
      <c r="AK188" t="s">
        <v>564</v>
      </c>
      <c r="AL188" t="s">
        <v>565</v>
      </c>
    </row>
    <row r="189" spans="1:68" x14ac:dyDescent="0.35">
      <c r="A189" t="s">
        <v>566</v>
      </c>
      <c r="B189">
        <v>4000000</v>
      </c>
      <c r="C189">
        <v>0</v>
      </c>
      <c r="D189">
        <v>0</v>
      </c>
      <c r="E189">
        <v>0</v>
      </c>
      <c r="F189">
        <v>4000000</v>
      </c>
      <c r="G189">
        <v>4000000</v>
      </c>
      <c r="H189">
        <v>0</v>
      </c>
      <c r="I189">
        <v>0</v>
      </c>
      <c r="J189">
        <v>0</v>
      </c>
      <c r="K189">
        <v>4000000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4000000</v>
      </c>
      <c r="AG189">
        <v>0</v>
      </c>
      <c r="AH189">
        <v>0</v>
      </c>
      <c r="AI189">
        <v>0</v>
      </c>
      <c r="AJ189">
        <v>4000000</v>
      </c>
      <c r="AK189" t="s">
        <v>567</v>
      </c>
      <c r="AL189" t="s">
        <v>568</v>
      </c>
    </row>
    <row r="190" spans="1:68" x14ac:dyDescent="0.35">
      <c r="A190" t="s">
        <v>569</v>
      </c>
      <c r="B190">
        <v>4000000</v>
      </c>
      <c r="C190">
        <v>0</v>
      </c>
      <c r="D190">
        <v>0</v>
      </c>
      <c r="E190">
        <v>0</v>
      </c>
      <c r="F190">
        <v>4000000</v>
      </c>
      <c r="G190">
        <v>4000000</v>
      </c>
      <c r="H190">
        <v>0</v>
      </c>
      <c r="I190">
        <v>0</v>
      </c>
      <c r="J190">
        <v>0</v>
      </c>
      <c r="K190">
        <v>4000000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4000000</v>
      </c>
      <c r="AG190">
        <v>0</v>
      </c>
      <c r="AH190">
        <v>0</v>
      </c>
      <c r="AI190">
        <v>0</v>
      </c>
      <c r="AJ190">
        <v>4000000</v>
      </c>
      <c r="AK190" t="s">
        <v>570</v>
      </c>
      <c r="AL190" t="s">
        <v>571</v>
      </c>
    </row>
    <row r="191" spans="1:68" x14ac:dyDescent="0.35">
      <c r="A191" t="s">
        <v>572</v>
      </c>
      <c r="B191">
        <v>4000000</v>
      </c>
      <c r="C191">
        <v>0</v>
      </c>
      <c r="D191">
        <v>0</v>
      </c>
      <c r="E191">
        <v>0</v>
      </c>
      <c r="F191">
        <v>4000000</v>
      </c>
      <c r="G191">
        <v>4000000</v>
      </c>
      <c r="H191">
        <v>0</v>
      </c>
      <c r="I191">
        <v>0</v>
      </c>
      <c r="J191">
        <v>0</v>
      </c>
      <c r="K191">
        <v>4000000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4000000</v>
      </c>
      <c r="AG191">
        <v>0</v>
      </c>
      <c r="AH191">
        <v>0</v>
      </c>
      <c r="AI191">
        <v>0</v>
      </c>
      <c r="AJ191">
        <v>4000000</v>
      </c>
      <c r="AK191" t="s">
        <v>573</v>
      </c>
      <c r="AL191" t="s">
        <v>574</v>
      </c>
    </row>
    <row r="192" spans="1:68" x14ac:dyDescent="0.35">
      <c r="A192" t="s">
        <v>575</v>
      </c>
      <c r="B192">
        <v>2500000</v>
      </c>
      <c r="C192">
        <v>0</v>
      </c>
      <c r="D192">
        <v>0</v>
      </c>
      <c r="E192">
        <v>0</v>
      </c>
      <c r="F192">
        <v>2500000</v>
      </c>
      <c r="G192">
        <v>2500000</v>
      </c>
      <c r="H192">
        <v>0</v>
      </c>
      <c r="I192">
        <v>0</v>
      </c>
      <c r="J192">
        <v>0</v>
      </c>
      <c r="K192">
        <v>2500000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2500000</v>
      </c>
      <c r="AG192">
        <v>0</v>
      </c>
      <c r="AH192">
        <v>0</v>
      </c>
      <c r="AI192">
        <v>0</v>
      </c>
      <c r="AJ192">
        <v>2500000</v>
      </c>
      <c r="AK192" t="s">
        <v>576</v>
      </c>
      <c r="AL192" t="s">
        <v>577</v>
      </c>
    </row>
    <row r="193" spans="1:68" x14ac:dyDescent="0.35">
      <c r="A193" t="s">
        <v>578</v>
      </c>
      <c r="B193">
        <v>2500000</v>
      </c>
      <c r="C193">
        <v>0</v>
      </c>
      <c r="D193">
        <v>0</v>
      </c>
      <c r="E193">
        <v>0</v>
      </c>
      <c r="F193">
        <v>2500000</v>
      </c>
      <c r="G193">
        <v>2500000</v>
      </c>
      <c r="H193">
        <v>0</v>
      </c>
      <c r="I193">
        <v>0</v>
      </c>
      <c r="J193">
        <v>0</v>
      </c>
      <c r="K193">
        <v>2500000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2500000</v>
      </c>
      <c r="AG193">
        <v>0</v>
      </c>
      <c r="AH193">
        <v>0</v>
      </c>
      <c r="AI193">
        <v>0</v>
      </c>
      <c r="AJ193">
        <v>2500000</v>
      </c>
      <c r="AK193" t="s">
        <v>579</v>
      </c>
      <c r="AL193" t="s">
        <v>580</v>
      </c>
    </row>
    <row r="194" spans="1:68" x14ac:dyDescent="0.35">
      <c r="A194" t="s">
        <v>581</v>
      </c>
      <c r="B194">
        <v>4000000</v>
      </c>
      <c r="C194">
        <v>0</v>
      </c>
      <c r="D194">
        <v>0</v>
      </c>
      <c r="E194">
        <v>0</v>
      </c>
      <c r="F194">
        <v>4000000</v>
      </c>
      <c r="G194">
        <v>4000000</v>
      </c>
      <c r="H194">
        <v>0</v>
      </c>
      <c r="I194">
        <v>0</v>
      </c>
      <c r="J194">
        <v>0</v>
      </c>
      <c r="K194">
        <v>4000000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4000000</v>
      </c>
      <c r="AG194">
        <v>0</v>
      </c>
      <c r="AH194">
        <v>0</v>
      </c>
      <c r="AI194">
        <v>0</v>
      </c>
      <c r="AJ194">
        <v>4000000</v>
      </c>
      <c r="AK194" t="s">
        <v>582</v>
      </c>
      <c r="AL194" t="s">
        <v>583</v>
      </c>
    </row>
    <row r="195" spans="1:68" x14ac:dyDescent="0.35">
      <c r="A195" t="s">
        <v>584</v>
      </c>
      <c r="B195">
        <v>4000000</v>
      </c>
      <c r="C195">
        <v>0</v>
      </c>
      <c r="D195">
        <v>0</v>
      </c>
      <c r="E195">
        <v>0</v>
      </c>
      <c r="F195">
        <v>4000000</v>
      </c>
      <c r="G195">
        <v>4000000</v>
      </c>
      <c r="H195">
        <v>0</v>
      </c>
      <c r="I195">
        <v>0</v>
      </c>
      <c r="J195">
        <v>0</v>
      </c>
      <c r="K195">
        <v>4000000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4000000</v>
      </c>
      <c r="AG195">
        <v>0</v>
      </c>
      <c r="AH195">
        <v>0</v>
      </c>
      <c r="AI195">
        <v>0</v>
      </c>
      <c r="AJ195">
        <v>4000000</v>
      </c>
      <c r="AK195" t="s">
        <v>585</v>
      </c>
      <c r="AL195" t="s">
        <v>586</v>
      </c>
    </row>
    <row r="196" spans="1:68" x14ac:dyDescent="0.35">
      <c r="A196" t="s">
        <v>587</v>
      </c>
      <c r="B196">
        <v>1200000</v>
      </c>
      <c r="C196">
        <v>0</v>
      </c>
      <c r="D196">
        <v>0</v>
      </c>
      <c r="E196">
        <v>0</v>
      </c>
      <c r="F196">
        <v>1200000</v>
      </c>
      <c r="G196">
        <v>1200000</v>
      </c>
      <c r="H196">
        <v>0</v>
      </c>
      <c r="I196">
        <v>0</v>
      </c>
      <c r="J196">
        <v>0</v>
      </c>
      <c r="K196">
        <v>1200000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1200000</v>
      </c>
      <c r="AG196">
        <v>0</v>
      </c>
      <c r="AH196">
        <v>0</v>
      </c>
      <c r="AI196">
        <v>0</v>
      </c>
      <c r="AJ196">
        <v>1200000</v>
      </c>
      <c r="AK196" t="s">
        <v>588</v>
      </c>
      <c r="AL196" t="s">
        <v>589</v>
      </c>
    </row>
    <row r="197" spans="1:68" x14ac:dyDescent="0.35">
      <c r="A197" t="s">
        <v>590</v>
      </c>
      <c r="B197">
        <v>9500000</v>
      </c>
      <c r="C197">
        <v>6195900.9699999997</v>
      </c>
      <c r="D197">
        <v>629530.4</v>
      </c>
      <c r="E197">
        <v>6825431.3700000001</v>
      </c>
      <c r="F197">
        <v>2674568.63</v>
      </c>
      <c r="G197">
        <v>9500000</v>
      </c>
      <c r="H197">
        <v>6195900.9699999997</v>
      </c>
      <c r="I197">
        <v>629530.4</v>
      </c>
      <c r="J197">
        <v>6825431.3700000001</v>
      </c>
      <c r="K197">
        <v>2674568.63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9500000</v>
      </c>
      <c r="AG197">
        <v>6195900.9699999997</v>
      </c>
      <c r="AH197">
        <v>629530.4</v>
      </c>
      <c r="AI197">
        <v>6825431.3700000001</v>
      </c>
      <c r="AJ197">
        <v>2674568.63</v>
      </c>
      <c r="AK197" t="s">
        <v>591</v>
      </c>
      <c r="AL197" t="s">
        <v>592</v>
      </c>
      <c r="AM197" t="s">
        <v>1394</v>
      </c>
      <c r="AN197">
        <v>0</v>
      </c>
      <c r="AO197">
        <v>6195901</v>
      </c>
      <c r="AP197">
        <v>-6195901</v>
      </c>
      <c r="AQ197">
        <v>0</v>
      </c>
      <c r="AR197">
        <v>0</v>
      </c>
      <c r="AS197">
        <v>6195901</v>
      </c>
      <c r="AT197">
        <v>-6195901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6195901</v>
      </c>
      <c r="BN197">
        <v>-6195901</v>
      </c>
      <c r="BO197">
        <v>0</v>
      </c>
      <c r="BP197" t="s">
        <v>591</v>
      </c>
    </row>
    <row r="198" spans="1:68" x14ac:dyDescent="0.35">
      <c r="A198" t="s">
        <v>593</v>
      </c>
      <c r="B198">
        <v>6000000</v>
      </c>
      <c r="C198">
        <v>0</v>
      </c>
      <c r="D198">
        <v>0</v>
      </c>
      <c r="E198">
        <v>0</v>
      </c>
      <c r="F198">
        <v>6000000</v>
      </c>
      <c r="G198">
        <v>6000000</v>
      </c>
      <c r="H198">
        <v>0</v>
      </c>
      <c r="I198">
        <v>0</v>
      </c>
      <c r="J198">
        <v>0</v>
      </c>
      <c r="K198">
        <v>6000000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6000000</v>
      </c>
      <c r="AG198">
        <v>0</v>
      </c>
      <c r="AH198">
        <v>0</v>
      </c>
      <c r="AI198">
        <v>0</v>
      </c>
      <c r="AJ198">
        <v>6000000</v>
      </c>
      <c r="AK198" t="s">
        <v>594</v>
      </c>
      <c r="AL198" t="s">
        <v>595</v>
      </c>
    </row>
    <row r="199" spans="1:68" x14ac:dyDescent="0.35">
      <c r="A199" t="s">
        <v>596</v>
      </c>
      <c r="B199">
        <v>1086000</v>
      </c>
      <c r="C199">
        <v>0</v>
      </c>
      <c r="D199">
        <v>889406.51</v>
      </c>
      <c r="E199">
        <v>889406.51</v>
      </c>
      <c r="F199">
        <v>196593.49</v>
      </c>
      <c r="G199">
        <v>1086000</v>
      </c>
      <c r="H199">
        <v>0</v>
      </c>
      <c r="I199">
        <v>889406.51</v>
      </c>
      <c r="J199">
        <v>889406.51</v>
      </c>
      <c r="K199">
        <v>196593.49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1086000</v>
      </c>
      <c r="AG199">
        <v>0</v>
      </c>
      <c r="AH199">
        <v>889406.51</v>
      </c>
      <c r="AI199">
        <v>889406.51</v>
      </c>
      <c r="AJ199">
        <v>196593.49</v>
      </c>
      <c r="AK199" t="s">
        <v>597</v>
      </c>
      <c r="AL199" t="s">
        <v>598</v>
      </c>
    </row>
    <row r="200" spans="1:68" x14ac:dyDescent="0.35">
      <c r="A200" t="s">
        <v>599</v>
      </c>
      <c r="B200">
        <v>10000000</v>
      </c>
      <c r="C200">
        <v>0</v>
      </c>
      <c r="D200">
        <v>1350000</v>
      </c>
      <c r="E200">
        <v>1350000</v>
      </c>
      <c r="F200">
        <v>8650000</v>
      </c>
      <c r="G200">
        <v>10000000</v>
      </c>
      <c r="H200">
        <v>0</v>
      </c>
      <c r="I200">
        <v>1350000</v>
      </c>
      <c r="J200">
        <v>1350000</v>
      </c>
      <c r="K200">
        <v>8650000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10000000</v>
      </c>
      <c r="AG200">
        <v>0</v>
      </c>
      <c r="AH200">
        <v>1350000</v>
      </c>
      <c r="AI200">
        <v>1350000</v>
      </c>
      <c r="AJ200">
        <v>8650000</v>
      </c>
      <c r="AK200" t="s">
        <v>600</v>
      </c>
      <c r="AL200" t="s">
        <v>601</v>
      </c>
    </row>
    <row r="201" spans="1:68" x14ac:dyDescent="0.35">
      <c r="A201" t="s">
        <v>602</v>
      </c>
      <c r="B201">
        <v>3500000</v>
      </c>
      <c r="C201">
        <v>0</v>
      </c>
      <c r="D201">
        <v>0</v>
      </c>
      <c r="E201">
        <v>0</v>
      </c>
      <c r="F201">
        <v>3500000</v>
      </c>
      <c r="G201">
        <v>3500000</v>
      </c>
      <c r="H201">
        <v>0</v>
      </c>
      <c r="I201">
        <v>0</v>
      </c>
      <c r="J201">
        <v>0</v>
      </c>
      <c r="K201">
        <v>3500000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3500000</v>
      </c>
      <c r="AG201">
        <v>0</v>
      </c>
      <c r="AH201">
        <v>0</v>
      </c>
      <c r="AI201">
        <v>0</v>
      </c>
      <c r="AJ201">
        <v>3500000</v>
      </c>
      <c r="AK201" t="s">
        <v>603</v>
      </c>
      <c r="AL201" t="s">
        <v>604</v>
      </c>
    </row>
    <row r="202" spans="1:68" x14ac:dyDescent="0.35">
      <c r="A202" t="s">
        <v>605</v>
      </c>
      <c r="B202">
        <v>8000000</v>
      </c>
      <c r="C202">
        <v>3466178.74</v>
      </c>
      <c r="D202">
        <v>0</v>
      </c>
      <c r="E202">
        <v>3466178.74</v>
      </c>
      <c r="F202">
        <v>4533821.26</v>
      </c>
      <c r="G202">
        <v>8000000</v>
      </c>
      <c r="H202">
        <v>3466178.74</v>
      </c>
      <c r="I202">
        <v>0</v>
      </c>
      <c r="J202">
        <v>3466178.74</v>
      </c>
      <c r="K202">
        <v>4533821.26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8000000</v>
      </c>
      <c r="AG202">
        <v>3466178.74</v>
      </c>
      <c r="AH202">
        <v>0</v>
      </c>
      <c r="AI202">
        <v>3466178.74</v>
      </c>
      <c r="AJ202">
        <v>4533821.26</v>
      </c>
      <c r="AK202" t="s">
        <v>606</v>
      </c>
      <c r="AL202" t="s">
        <v>607</v>
      </c>
      <c r="AM202" t="s">
        <v>1395</v>
      </c>
      <c r="AN202">
        <v>0</v>
      </c>
      <c r="AO202">
        <v>3466179</v>
      </c>
      <c r="AP202">
        <v>-3466179</v>
      </c>
      <c r="AQ202">
        <v>0</v>
      </c>
      <c r="AR202">
        <v>0</v>
      </c>
      <c r="AS202">
        <v>3466179</v>
      </c>
      <c r="AT202">
        <v>-3466179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3466179</v>
      </c>
      <c r="BN202">
        <v>-3466179</v>
      </c>
      <c r="BO202">
        <v>0</v>
      </c>
      <c r="BP202" t="s">
        <v>606</v>
      </c>
    </row>
    <row r="203" spans="1:68" x14ac:dyDescent="0.35">
      <c r="A203" t="s">
        <v>608</v>
      </c>
      <c r="B203">
        <v>200000</v>
      </c>
      <c r="C203">
        <v>199881.84</v>
      </c>
      <c r="D203">
        <v>0.04</v>
      </c>
      <c r="E203">
        <v>199881.88</v>
      </c>
      <c r="F203">
        <v>118.12</v>
      </c>
      <c r="G203">
        <v>200000</v>
      </c>
      <c r="H203">
        <v>199881.84</v>
      </c>
      <c r="I203">
        <v>0.04</v>
      </c>
      <c r="J203">
        <v>199881.88</v>
      </c>
      <c r="K203">
        <v>118.12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200000</v>
      </c>
      <c r="AG203">
        <v>199881.84</v>
      </c>
      <c r="AH203">
        <v>0.04</v>
      </c>
      <c r="AI203">
        <v>199881.88</v>
      </c>
      <c r="AJ203">
        <v>118.12</v>
      </c>
      <c r="AK203" t="s">
        <v>609</v>
      </c>
      <c r="AL203" t="s">
        <v>610</v>
      </c>
      <c r="AM203" t="s">
        <v>1396</v>
      </c>
      <c r="AN203">
        <v>0</v>
      </c>
      <c r="AO203">
        <v>199882</v>
      </c>
      <c r="AP203">
        <v>-199882</v>
      </c>
      <c r="AQ203">
        <v>0</v>
      </c>
      <c r="AR203">
        <v>0</v>
      </c>
      <c r="AS203">
        <v>199882</v>
      </c>
      <c r="AT203">
        <v>-199882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199882</v>
      </c>
      <c r="BN203">
        <v>-199882</v>
      </c>
      <c r="BO203">
        <v>0</v>
      </c>
      <c r="BP203" t="s">
        <v>609</v>
      </c>
    </row>
    <row r="204" spans="1:68" x14ac:dyDescent="0.35">
      <c r="A204" t="s">
        <v>611</v>
      </c>
      <c r="B204">
        <v>850000</v>
      </c>
      <c r="C204">
        <v>829289.97</v>
      </c>
      <c r="D204">
        <v>327.02</v>
      </c>
      <c r="E204">
        <v>829616.99</v>
      </c>
      <c r="F204">
        <v>20383.009999999998</v>
      </c>
      <c r="G204">
        <v>850000</v>
      </c>
      <c r="H204">
        <v>829289.97</v>
      </c>
      <c r="I204">
        <v>327.02</v>
      </c>
      <c r="J204">
        <v>829616.99</v>
      </c>
      <c r="K204">
        <v>20383.009999999998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850000</v>
      </c>
      <c r="AG204">
        <v>829289.97</v>
      </c>
      <c r="AH204">
        <v>327.02</v>
      </c>
      <c r="AI204">
        <v>829616.99</v>
      </c>
      <c r="AJ204">
        <v>20383.009999999998</v>
      </c>
      <c r="AK204" t="s">
        <v>612</v>
      </c>
      <c r="AL204" t="s">
        <v>613</v>
      </c>
      <c r="AM204" t="s">
        <v>1397</v>
      </c>
      <c r="AN204">
        <v>0</v>
      </c>
      <c r="AO204">
        <v>829290</v>
      </c>
      <c r="AP204">
        <v>-829290</v>
      </c>
      <c r="AQ204">
        <v>0</v>
      </c>
      <c r="AR204">
        <v>0</v>
      </c>
      <c r="AS204">
        <v>829290</v>
      </c>
      <c r="AT204">
        <v>-829290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829290</v>
      </c>
      <c r="BN204">
        <v>-829290</v>
      </c>
      <c r="BO204">
        <v>0</v>
      </c>
      <c r="BP204" t="s">
        <v>612</v>
      </c>
    </row>
    <row r="205" spans="1:68" x14ac:dyDescent="0.35">
      <c r="A205" t="s">
        <v>614</v>
      </c>
      <c r="B205">
        <v>48606000</v>
      </c>
      <c r="C205">
        <v>35448250</v>
      </c>
      <c r="D205">
        <v>0</v>
      </c>
      <c r="E205">
        <v>35448250</v>
      </c>
      <c r="F205">
        <v>13157750</v>
      </c>
      <c r="G205">
        <v>48606000</v>
      </c>
      <c r="H205">
        <v>35448250</v>
      </c>
      <c r="I205">
        <v>0</v>
      </c>
      <c r="J205">
        <v>35448250</v>
      </c>
      <c r="K205">
        <v>13157750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48606000</v>
      </c>
      <c r="AG205">
        <v>35448250</v>
      </c>
      <c r="AH205">
        <v>0</v>
      </c>
      <c r="AI205">
        <v>35448250</v>
      </c>
      <c r="AJ205">
        <v>13157750</v>
      </c>
      <c r="AK205" t="s">
        <v>615</v>
      </c>
      <c r="AL205" t="s">
        <v>616</v>
      </c>
      <c r="AM205" t="s">
        <v>1398</v>
      </c>
      <c r="AN205">
        <v>0</v>
      </c>
      <c r="AO205">
        <v>35448250</v>
      </c>
      <c r="AP205">
        <v>-35448250</v>
      </c>
      <c r="AQ205">
        <v>0</v>
      </c>
      <c r="AR205">
        <v>0</v>
      </c>
      <c r="AS205">
        <v>35448250</v>
      </c>
      <c r="AT205">
        <v>-35448250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35448250</v>
      </c>
      <c r="BN205">
        <v>-35448250</v>
      </c>
      <c r="BO205">
        <v>0</v>
      </c>
      <c r="BP205" t="s">
        <v>615</v>
      </c>
    </row>
    <row r="206" spans="1:68" x14ac:dyDescent="0.35">
      <c r="A206" t="s">
        <v>617</v>
      </c>
      <c r="B206">
        <v>5000000</v>
      </c>
      <c r="C206">
        <v>986901.25</v>
      </c>
      <c r="D206">
        <v>20053.75</v>
      </c>
      <c r="E206">
        <v>1006955</v>
      </c>
      <c r="F206">
        <v>3993045</v>
      </c>
      <c r="G206">
        <v>5000000</v>
      </c>
      <c r="H206">
        <v>986901.25</v>
      </c>
      <c r="I206">
        <v>20053.75</v>
      </c>
      <c r="J206">
        <v>1006955</v>
      </c>
      <c r="K206">
        <v>3993045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5000000</v>
      </c>
      <c r="AG206">
        <v>986901.25</v>
      </c>
      <c r="AH206">
        <v>20053.75</v>
      </c>
      <c r="AI206">
        <v>1006955</v>
      </c>
      <c r="AJ206">
        <v>3993045</v>
      </c>
      <c r="AK206" t="s">
        <v>618</v>
      </c>
      <c r="AL206" t="s">
        <v>619</v>
      </c>
      <c r="AM206" t="s">
        <v>1399</v>
      </c>
      <c r="AN206">
        <v>0</v>
      </c>
      <c r="AO206">
        <v>986901</v>
      </c>
      <c r="AP206">
        <v>-986901</v>
      </c>
      <c r="AQ206">
        <v>0</v>
      </c>
      <c r="AR206">
        <v>0</v>
      </c>
      <c r="AS206">
        <v>986901</v>
      </c>
      <c r="AT206">
        <v>-986901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986901</v>
      </c>
      <c r="BN206">
        <v>-986901</v>
      </c>
      <c r="BO206">
        <v>0</v>
      </c>
      <c r="BP206" t="s">
        <v>618</v>
      </c>
    </row>
    <row r="207" spans="1:68" x14ac:dyDescent="0.35">
      <c r="A207" t="s">
        <v>620</v>
      </c>
      <c r="B207">
        <v>12200000</v>
      </c>
      <c r="C207">
        <v>7321468</v>
      </c>
      <c r="D207">
        <v>0</v>
      </c>
      <c r="E207">
        <v>7321468</v>
      </c>
      <c r="F207">
        <v>4878532</v>
      </c>
      <c r="G207">
        <v>12200000</v>
      </c>
      <c r="H207">
        <v>7321468</v>
      </c>
      <c r="I207">
        <v>0</v>
      </c>
      <c r="J207">
        <v>7321468</v>
      </c>
      <c r="K207">
        <v>4878532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12200000</v>
      </c>
      <c r="AG207">
        <v>7321468</v>
      </c>
      <c r="AH207">
        <v>0</v>
      </c>
      <c r="AI207">
        <v>7321468</v>
      </c>
      <c r="AJ207">
        <v>4878532</v>
      </c>
      <c r="AK207" t="s">
        <v>621</v>
      </c>
      <c r="AL207" t="s">
        <v>622</v>
      </c>
      <c r="AM207" t="s">
        <v>1400</v>
      </c>
      <c r="AN207">
        <v>0</v>
      </c>
      <c r="AO207">
        <v>7321468</v>
      </c>
      <c r="AP207">
        <v>-7321468</v>
      </c>
      <c r="AQ207">
        <v>0</v>
      </c>
      <c r="AR207">
        <v>0</v>
      </c>
      <c r="AS207">
        <v>7321468</v>
      </c>
      <c r="AT207">
        <v>-7321468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7321468</v>
      </c>
      <c r="BN207">
        <v>-7321468</v>
      </c>
      <c r="BO207">
        <v>0</v>
      </c>
      <c r="BP207" t="s">
        <v>621</v>
      </c>
    </row>
    <row r="208" spans="1:68" x14ac:dyDescent="0.35">
      <c r="A208" t="s">
        <v>623</v>
      </c>
      <c r="B208">
        <v>1000000</v>
      </c>
      <c r="C208">
        <v>0</v>
      </c>
      <c r="D208">
        <v>0</v>
      </c>
      <c r="E208">
        <v>0</v>
      </c>
      <c r="F208">
        <v>1000000</v>
      </c>
      <c r="G208">
        <v>1000000</v>
      </c>
      <c r="H208">
        <v>0</v>
      </c>
      <c r="I208">
        <v>0</v>
      </c>
      <c r="J208">
        <v>0</v>
      </c>
      <c r="K208">
        <v>1000000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1000000</v>
      </c>
      <c r="AG208">
        <v>0</v>
      </c>
      <c r="AH208">
        <v>0</v>
      </c>
      <c r="AI208">
        <v>0</v>
      </c>
      <c r="AJ208">
        <v>1000000</v>
      </c>
      <c r="AK208" t="s">
        <v>624</v>
      </c>
      <c r="AL208" t="s">
        <v>625</v>
      </c>
    </row>
    <row r="209" spans="1:68" x14ac:dyDescent="0.35">
      <c r="A209" t="s">
        <v>626</v>
      </c>
      <c r="B209">
        <v>1500000</v>
      </c>
      <c r="C209">
        <v>945679.9</v>
      </c>
      <c r="D209">
        <v>532540.91</v>
      </c>
      <c r="E209">
        <v>1478220.81</v>
      </c>
      <c r="F209">
        <v>21779.19</v>
      </c>
      <c r="G209">
        <v>1500000</v>
      </c>
      <c r="H209">
        <v>945679.9</v>
      </c>
      <c r="I209">
        <v>532540.91</v>
      </c>
      <c r="J209">
        <v>1478220.81</v>
      </c>
      <c r="K209">
        <v>21779.19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1500000</v>
      </c>
      <c r="AG209">
        <v>945679.9</v>
      </c>
      <c r="AH209">
        <v>532540.91</v>
      </c>
      <c r="AI209">
        <v>1478220.81</v>
      </c>
      <c r="AJ209">
        <v>21779.19</v>
      </c>
      <c r="AK209" t="s">
        <v>627</v>
      </c>
      <c r="AL209" t="s">
        <v>628</v>
      </c>
      <c r="AM209" t="s">
        <v>1401</v>
      </c>
      <c r="AN209">
        <v>0</v>
      </c>
      <c r="AO209">
        <v>945680</v>
      </c>
      <c r="AP209">
        <v>-945680</v>
      </c>
      <c r="AQ209">
        <v>0</v>
      </c>
      <c r="AR209">
        <v>0</v>
      </c>
      <c r="AS209">
        <v>945680</v>
      </c>
      <c r="AT209">
        <v>-945680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945680</v>
      </c>
      <c r="BN209">
        <v>-945680</v>
      </c>
      <c r="BO209">
        <v>0</v>
      </c>
      <c r="BP209" t="s">
        <v>627</v>
      </c>
    </row>
    <row r="210" spans="1:68" x14ac:dyDescent="0.35">
      <c r="A210" t="s">
        <v>629</v>
      </c>
      <c r="B210">
        <v>2543000</v>
      </c>
      <c r="C210">
        <v>655672.69999999995</v>
      </c>
      <c r="D210">
        <v>1344091.36</v>
      </c>
      <c r="E210">
        <v>1999764.06</v>
      </c>
      <c r="F210">
        <v>543235.93999999994</v>
      </c>
      <c r="G210">
        <v>2543000</v>
      </c>
      <c r="H210">
        <v>655672.69999999995</v>
      </c>
      <c r="I210">
        <v>1344091.36</v>
      </c>
      <c r="J210">
        <v>1999764.06</v>
      </c>
      <c r="K210">
        <v>543235.93999999994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2543000</v>
      </c>
      <c r="AG210">
        <v>655672.69999999995</v>
      </c>
      <c r="AH210">
        <v>1344091.36</v>
      </c>
      <c r="AI210">
        <v>1999764.06</v>
      </c>
      <c r="AJ210">
        <v>543235.93999999994</v>
      </c>
      <c r="AK210" t="s">
        <v>630</v>
      </c>
      <c r="AL210" t="s">
        <v>631</v>
      </c>
      <c r="AM210" t="s">
        <v>1402</v>
      </c>
      <c r="AN210">
        <v>0</v>
      </c>
      <c r="AO210">
        <v>655673</v>
      </c>
      <c r="AP210">
        <v>-655673</v>
      </c>
      <c r="AQ210">
        <v>0</v>
      </c>
      <c r="AR210">
        <v>0</v>
      </c>
      <c r="AS210">
        <v>655673</v>
      </c>
      <c r="AT210">
        <v>-655673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655673</v>
      </c>
      <c r="BN210">
        <v>-655673</v>
      </c>
      <c r="BO210">
        <v>0</v>
      </c>
      <c r="BP210" t="s">
        <v>630</v>
      </c>
    </row>
    <row r="211" spans="1:68" x14ac:dyDescent="0.35">
      <c r="A211" t="s">
        <v>632</v>
      </c>
      <c r="B211">
        <v>5000000</v>
      </c>
      <c r="C211">
        <v>0</v>
      </c>
      <c r="D211">
        <v>4227586.5199999996</v>
      </c>
      <c r="E211">
        <v>4227586.5199999996</v>
      </c>
      <c r="F211">
        <v>772413.48</v>
      </c>
      <c r="G211">
        <v>5000000</v>
      </c>
      <c r="H211">
        <v>0</v>
      </c>
      <c r="I211">
        <v>4227586.5199999996</v>
      </c>
      <c r="J211">
        <v>4227586.5199999996</v>
      </c>
      <c r="K211">
        <v>772413.48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5000000</v>
      </c>
      <c r="AG211">
        <v>0</v>
      </c>
      <c r="AH211">
        <v>4227586.5199999996</v>
      </c>
      <c r="AI211">
        <v>4227586.5199999996</v>
      </c>
      <c r="AJ211">
        <v>772413.48</v>
      </c>
      <c r="AK211" t="s">
        <v>633</v>
      </c>
      <c r="AL211" t="s">
        <v>634</v>
      </c>
    </row>
    <row r="212" spans="1:68" x14ac:dyDescent="0.35">
      <c r="A212" t="s">
        <v>635</v>
      </c>
      <c r="B212">
        <v>50000000</v>
      </c>
      <c r="C212">
        <v>50000000</v>
      </c>
      <c r="D212">
        <v>0</v>
      </c>
      <c r="E212">
        <v>50000000</v>
      </c>
      <c r="F212">
        <v>0</v>
      </c>
      <c r="G212">
        <v>50000000</v>
      </c>
      <c r="H212">
        <v>50000000</v>
      </c>
      <c r="I212">
        <v>0</v>
      </c>
      <c r="J212">
        <v>50000000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50000000</v>
      </c>
      <c r="AG212">
        <v>50000000</v>
      </c>
      <c r="AH212">
        <v>0</v>
      </c>
      <c r="AI212">
        <v>50000000</v>
      </c>
      <c r="AJ212">
        <v>0</v>
      </c>
      <c r="AK212" t="s">
        <v>636</v>
      </c>
      <c r="AL212" t="s">
        <v>637</v>
      </c>
      <c r="AM212" t="s">
        <v>1403</v>
      </c>
      <c r="AN212">
        <v>0</v>
      </c>
      <c r="AO212">
        <v>50000000</v>
      </c>
      <c r="AP212">
        <v>-50000000</v>
      </c>
      <c r="AQ212">
        <v>0</v>
      </c>
      <c r="AR212">
        <v>0</v>
      </c>
      <c r="AS212">
        <v>50000000</v>
      </c>
      <c r="AT212">
        <v>-50000000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50000000</v>
      </c>
      <c r="BN212">
        <v>-50000000</v>
      </c>
      <c r="BO212">
        <v>0</v>
      </c>
      <c r="BP212" t="s">
        <v>636</v>
      </c>
    </row>
    <row r="213" spans="1:68" x14ac:dyDescent="0.35">
      <c r="A213" t="s">
        <v>638</v>
      </c>
      <c r="B213">
        <v>2000000</v>
      </c>
      <c r="C213">
        <v>0</v>
      </c>
      <c r="D213">
        <v>0</v>
      </c>
      <c r="E213">
        <v>0</v>
      </c>
      <c r="F213">
        <v>2000000</v>
      </c>
      <c r="G213">
        <v>2000000</v>
      </c>
      <c r="H213">
        <v>0</v>
      </c>
      <c r="I213">
        <v>0</v>
      </c>
      <c r="J213">
        <v>0</v>
      </c>
      <c r="K213">
        <v>2000000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2000000</v>
      </c>
      <c r="AG213">
        <v>0</v>
      </c>
      <c r="AH213">
        <v>0</v>
      </c>
      <c r="AI213">
        <v>0</v>
      </c>
      <c r="AJ213">
        <v>2000000</v>
      </c>
      <c r="AK213" t="s">
        <v>639</v>
      </c>
      <c r="AL213" t="s">
        <v>640</v>
      </c>
    </row>
    <row r="214" spans="1:68" x14ac:dyDescent="0.35">
      <c r="A214" t="s">
        <v>641</v>
      </c>
      <c r="B214">
        <v>3000000</v>
      </c>
      <c r="C214">
        <v>0</v>
      </c>
      <c r="D214">
        <v>0</v>
      </c>
      <c r="E214">
        <v>0</v>
      </c>
      <c r="F214">
        <v>3000000</v>
      </c>
      <c r="G214">
        <v>3000000</v>
      </c>
      <c r="H214">
        <v>0</v>
      </c>
      <c r="I214">
        <v>0</v>
      </c>
      <c r="J214">
        <v>0</v>
      </c>
      <c r="K214">
        <v>3000000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3000000</v>
      </c>
      <c r="AG214">
        <v>0</v>
      </c>
      <c r="AH214">
        <v>0</v>
      </c>
      <c r="AI214">
        <v>0</v>
      </c>
      <c r="AJ214">
        <v>3000000</v>
      </c>
      <c r="AK214" t="s">
        <v>642</v>
      </c>
      <c r="AL214" t="s">
        <v>643</v>
      </c>
    </row>
    <row r="215" spans="1:68" x14ac:dyDescent="0.35">
      <c r="A215" t="s">
        <v>644</v>
      </c>
      <c r="B215">
        <v>8700000</v>
      </c>
      <c r="C215">
        <v>0</v>
      </c>
      <c r="D215">
        <v>0</v>
      </c>
      <c r="E215">
        <v>0</v>
      </c>
      <c r="F215">
        <v>8700000</v>
      </c>
      <c r="G215">
        <v>8700000</v>
      </c>
      <c r="H215">
        <v>0</v>
      </c>
      <c r="I215">
        <v>0</v>
      </c>
      <c r="J215">
        <v>0</v>
      </c>
      <c r="K215">
        <v>8700000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8700000</v>
      </c>
      <c r="AG215">
        <v>0</v>
      </c>
      <c r="AH215">
        <v>0</v>
      </c>
      <c r="AI215">
        <v>0</v>
      </c>
      <c r="AJ215">
        <v>8700000</v>
      </c>
      <c r="AK215" t="s">
        <v>645</v>
      </c>
      <c r="AL215" t="s">
        <v>646</v>
      </c>
    </row>
    <row r="216" spans="1:68" x14ac:dyDescent="0.35">
      <c r="A216" t="s">
        <v>647</v>
      </c>
      <c r="B216">
        <v>3000000</v>
      </c>
      <c r="C216">
        <v>2099308.4500000002</v>
      </c>
      <c r="D216">
        <v>70932.81</v>
      </c>
      <c r="E216">
        <v>2170241.2599999998</v>
      </c>
      <c r="F216">
        <v>829758.74</v>
      </c>
      <c r="G216">
        <v>3000000</v>
      </c>
      <c r="H216">
        <v>2099308.4500000002</v>
      </c>
      <c r="I216">
        <v>70932.81</v>
      </c>
      <c r="J216">
        <v>2170241.2599999998</v>
      </c>
      <c r="K216">
        <v>829758.74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3000000</v>
      </c>
      <c r="AG216">
        <v>2099308.4500000002</v>
      </c>
      <c r="AH216">
        <v>70932.81</v>
      </c>
      <c r="AI216">
        <v>2170241.2599999998</v>
      </c>
      <c r="AJ216">
        <v>829758.74</v>
      </c>
      <c r="AK216" t="s">
        <v>648</v>
      </c>
      <c r="AL216" t="s">
        <v>649</v>
      </c>
      <c r="AM216" t="s">
        <v>1404</v>
      </c>
      <c r="AN216">
        <v>0</v>
      </c>
      <c r="AO216">
        <v>2099308</v>
      </c>
      <c r="AP216">
        <v>-2099308</v>
      </c>
      <c r="AQ216">
        <v>0</v>
      </c>
      <c r="AR216">
        <v>0</v>
      </c>
      <c r="AS216">
        <v>2099308</v>
      </c>
      <c r="AT216">
        <v>-2099308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2099308</v>
      </c>
      <c r="BN216">
        <v>-2099308</v>
      </c>
      <c r="BO216">
        <v>0</v>
      </c>
      <c r="BP216" t="s">
        <v>648</v>
      </c>
    </row>
    <row r="217" spans="1:68" x14ac:dyDescent="0.35">
      <c r="A217" t="s">
        <v>650</v>
      </c>
      <c r="B217">
        <v>6000000</v>
      </c>
      <c r="C217">
        <v>0</v>
      </c>
      <c r="D217">
        <v>0</v>
      </c>
      <c r="E217">
        <v>0</v>
      </c>
      <c r="F217">
        <v>6000000</v>
      </c>
      <c r="G217">
        <v>6000000</v>
      </c>
      <c r="H217">
        <v>0</v>
      </c>
      <c r="I217">
        <v>0</v>
      </c>
      <c r="J217">
        <v>0</v>
      </c>
      <c r="K217">
        <v>6000000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6000000</v>
      </c>
      <c r="AG217">
        <v>0</v>
      </c>
      <c r="AH217">
        <v>0</v>
      </c>
      <c r="AI217">
        <v>0</v>
      </c>
      <c r="AJ217">
        <v>6000000</v>
      </c>
      <c r="AK217" t="s">
        <v>651</v>
      </c>
      <c r="AL217" t="s">
        <v>652</v>
      </c>
    </row>
    <row r="218" spans="1:68" x14ac:dyDescent="0.35">
      <c r="A218" t="s">
        <v>653</v>
      </c>
      <c r="B218">
        <v>1125000</v>
      </c>
      <c r="C218">
        <v>0</v>
      </c>
      <c r="D218">
        <v>0</v>
      </c>
      <c r="E218">
        <v>0</v>
      </c>
      <c r="F218">
        <v>1125000</v>
      </c>
      <c r="G218">
        <v>1125000</v>
      </c>
      <c r="H218">
        <v>0</v>
      </c>
      <c r="I218">
        <v>0</v>
      </c>
      <c r="J218">
        <v>0</v>
      </c>
      <c r="K218">
        <v>1125000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1125000</v>
      </c>
      <c r="AG218">
        <v>0</v>
      </c>
      <c r="AH218">
        <v>0</v>
      </c>
      <c r="AI218">
        <v>0</v>
      </c>
      <c r="AJ218">
        <v>1125000</v>
      </c>
      <c r="AK218" t="s">
        <v>654</v>
      </c>
      <c r="AL218" t="s">
        <v>655</v>
      </c>
      <c r="AM218" t="s">
        <v>1405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654</v>
      </c>
    </row>
    <row r="219" spans="1:68" x14ac:dyDescent="0.35">
      <c r="A219" t="s">
        <v>656</v>
      </c>
      <c r="B219">
        <v>400000</v>
      </c>
      <c r="C219">
        <v>0</v>
      </c>
      <c r="D219">
        <v>0</v>
      </c>
      <c r="E219">
        <v>0</v>
      </c>
      <c r="F219">
        <v>400000</v>
      </c>
      <c r="G219">
        <v>400000</v>
      </c>
      <c r="H219">
        <v>0</v>
      </c>
      <c r="I219">
        <v>0</v>
      </c>
      <c r="J219">
        <v>0</v>
      </c>
      <c r="K219">
        <v>400000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400000</v>
      </c>
      <c r="AG219">
        <v>0</v>
      </c>
      <c r="AH219">
        <v>0</v>
      </c>
      <c r="AI219">
        <v>0</v>
      </c>
      <c r="AJ219">
        <v>400000</v>
      </c>
      <c r="AK219" t="s">
        <v>657</v>
      </c>
      <c r="AL219" t="s">
        <v>658</v>
      </c>
    </row>
    <row r="220" spans="1:68" x14ac:dyDescent="0.35">
      <c r="A220" t="s">
        <v>659</v>
      </c>
      <c r="B220">
        <v>3000000</v>
      </c>
      <c r="C220">
        <v>3000000</v>
      </c>
      <c r="D220">
        <v>0</v>
      </c>
      <c r="E220">
        <v>3000000</v>
      </c>
      <c r="F220">
        <v>0</v>
      </c>
      <c r="G220">
        <v>3000000</v>
      </c>
      <c r="H220">
        <v>3000000</v>
      </c>
      <c r="I220">
        <v>0</v>
      </c>
      <c r="J220">
        <v>3000000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3000000</v>
      </c>
      <c r="AG220">
        <v>3000000</v>
      </c>
      <c r="AH220">
        <v>0</v>
      </c>
      <c r="AI220">
        <v>3000000</v>
      </c>
      <c r="AJ220">
        <v>0</v>
      </c>
      <c r="AK220" t="s">
        <v>660</v>
      </c>
      <c r="AL220" t="s">
        <v>661</v>
      </c>
      <c r="AM220" t="s">
        <v>1406</v>
      </c>
      <c r="AN220">
        <v>0</v>
      </c>
      <c r="AO220">
        <v>3000000</v>
      </c>
      <c r="AP220">
        <v>-3000000</v>
      </c>
      <c r="AQ220">
        <v>0</v>
      </c>
      <c r="AR220">
        <v>0</v>
      </c>
      <c r="AS220">
        <v>3000000</v>
      </c>
      <c r="AT220">
        <v>-3000000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3000000</v>
      </c>
      <c r="BN220">
        <v>-3000000</v>
      </c>
      <c r="BO220">
        <v>0</v>
      </c>
      <c r="BP220" t="s">
        <v>660</v>
      </c>
    </row>
    <row r="221" spans="1:68" x14ac:dyDescent="0.35">
      <c r="A221" t="s">
        <v>662</v>
      </c>
      <c r="B221">
        <v>500000</v>
      </c>
      <c r="C221">
        <v>0</v>
      </c>
      <c r="D221">
        <v>0</v>
      </c>
      <c r="E221">
        <v>0</v>
      </c>
      <c r="F221">
        <v>500000</v>
      </c>
      <c r="G221">
        <v>500000</v>
      </c>
      <c r="H221">
        <v>0</v>
      </c>
      <c r="I221">
        <v>0</v>
      </c>
      <c r="J221">
        <v>0</v>
      </c>
      <c r="K221">
        <v>500000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500000</v>
      </c>
      <c r="AG221">
        <v>0</v>
      </c>
      <c r="AH221">
        <v>0</v>
      </c>
      <c r="AI221">
        <v>0</v>
      </c>
      <c r="AJ221">
        <v>500000</v>
      </c>
      <c r="AK221" t="s">
        <v>663</v>
      </c>
      <c r="AL221" t="s">
        <v>664</v>
      </c>
    </row>
    <row r="222" spans="1:68" x14ac:dyDescent="0.35">
      <c r="A222" t="s">
        <v>665</v>
      </c>
      <c r="B222">
        <v>30000000</v>
      </c>
      <c r="C222">
        <v>0</v>
      </c>
      <c r="D222">
        <v>0</v>
      </c>
      <c r="E222">
        <v>0</v>
      </c>
      <c r="F222">
        <v>30000000</v>
      </c>
      <c r="G222">
        <v>30000000</v>
      </c>
      <c r="H222">
        <v>0</v>
      </c>
      <c r="I222">
        <v>0</v>
      </c>
      <c r="J222">
        <v>0</v>
      </c>
      <c r="K222">
        <v>30000000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30000000</v>
      </c>
      <c r="AG222">
        <v>0</v>
      </c>
      <c r="AH222">
        <v>0</v>
      </c>
      <c r="AI222">
        <v>0</v>
      </c>
      <c r="AJ222">
        <v>30000000</v>
      </c>
      <c r="AK222" t="s">
        <v>666</v>
      </c>
      <c r="AL222" t="s">
        <v>667</v>
      </c>
    </row>
    <row r="223" spans="1:68" x14ac:dyDescent="0.35">
      <c r="A223" t="s">
        <v>668</v>
      </c>
      <c r="B223">
        <v>19785000</v>
      </c>
      <c r="C223">
        <v>427713.86</v>
      </c>
      <c r="D223">
        <v>123600</v>
      </c>
      <c r="E223">
        <v>551313.86</v>
      </c>
      <c r="F223">
        <v>19233686.140000001</v>
      </c>
      <c r="G223">
        <v>19785000</v>
      </c>
      <c r="H223">
        <v>427713.86</v>
      </c>
      <c r="I223">
        <v>123600</v>
      </c>
      <c r="J223">
        <v>551313.86</v>
      </c>
      <c r="K223">
        <v>19233686.140000001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19785000</v>
      </c>
      <c r="AG223">
        <v>427713.86</v>
      </c>
      <c r="AH223">
        <v>123600</v>
      </c>
      <c r="AI223">
        <v>551313.86</v>
      </c>
      <c r="AJ223">
        <v>19233686.140000001</v>
      </c>
      <c r="AK223" t="s">
        <v>669</v>
      </c>
      <c r="AL223" t="s">
        <v>670</v>
      </c>
      <c r="AM223" t="s">
        <v>1407</v>
      </c>
      <c r="AN223">
        <v>0</v>
      </c>
      <c r="AO223">
        <v>427714</v>
      </c>
      <c r="AP223">
        <v>-427714</v>
      </c>
      <c r="AQ223">
        <v>0</v>
      </c>
      <c r="AR223">
        <v>0</v>
      </c>
      <c r="AS223">
        <v>427714</v>
      </c>
      <c r="AT223">
        <v>-427714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427714</v>
      </c>
      <c r="BN223">
        <v>-427714</v>
      </c>
      <c r="BO223">
        <v>0</v>
      </c>
      <c r="BP223" t="s">
        <v>669</v>
      </c>
    </row>
    <row r="224" spans="1:68" x14ac:dyDescent="0.35">
      <c r="A224" t="s">
        <v>671</v>
      </c>
      <c r="B224">
        <v>1000000</v>
      </c>
      <c r="C224">
        <v>300000</v>
      </c>
      <c r="D224">
        <v>700000</v>
      </c>
      <c r="E224">
        <v>1000000</v>
      </c>
      <c r="F224">
        <v>0</v>
      </c>
      <c r="G224">
        <v>1000000</v>
      </c>
      <c r="H224">
        <v>300000</v>
      </c>
      <c r="I224">
        <v>700000</v>
      </c>
      <c r="J224">
        <v>1000000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1000000</v>
      </c>
      <c r="AG224">
        <v>300000</v>
      </c>
      <c r="AH224">
        <v>700000</v>
      </c>
      <c r="AI224">
        <v>1000000</v>
      </c>
      <c r="AJ224">
        <v>0</v>
      </c>
      <c r="AK224" t="s">
        <v>672</v>
      </c>
      <c r="AL224" t="s">
        <v>673</v>
      </c>
      <c r="AM224" t="s">
        <v>1408</v>
      </c>
      <c r="AN224">
        <v>0</v>
      </c>
      <c r="AO224">
        <v>300000</v>
      </c>
      <c r="AP224">
        <v>-300000</v>
      </c>
      <c r="AQ224">
        <v>0</v>
      </c>
      <c r="AR224">
        <v>0</v>
      </c>
      <c r="AS224">
        <v>300000</v>
      </c>
      <c r="AT224">
        <v>-300000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300000</v>
      </c>
      <c r="BN224">
        <v>-300000</v>
      </c>
      <c r="BO224">
        <v>0</v>
      </c>
      <c r="BP224" t="s">
        <v>672</v>
      </c>
    </row>
    <row r="225" spans="1:68" x14ac:dyDescent="0.35">
      <c r="A225" t="s">
        <v>674</v>
      </c>
      <c r="B225">
        <v>200000</v>
      </c>
      <c r="C225">
        <v>200000</v>
      </c>
      <c r="D225">
        <v>0</v>
      </c>
      <c r="E225">
        <v>200000</v>
      </c>
      <c r="F225">
        <v>0</v>
      </c>
      <c r="G225">
        <v>200000</v>
      </c>
      <c r="H225">
        <v>200000</v>
      </c>
      <c r="I225">
        <v>0</v>
      </c>
      <c r="J225">
        <v>200000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200000</v>
      </c>
      <c r="AG225">
        <v>200000</v>
      </c>
      <c r="AH225">
        <v>0</v>
      </c>
      <c r="AI225">
        <v>200000</v>
      </c>
      <c r="AJ225">
        <v>0</v>
      </c>
      <c r="AK225" t="s">
        <v>675</v>
      </c>
      <c r="AL225" t="s">
        <v>676</v>
      </c>
      <c r="AM225" t="s">
        <v>1409</v>
      </c>
      <c r="AN225">
        <v>0</v>
      </c>
      <c r="AO225">
        <v>200000</v>
      </c>
      <c r="AP225">
        <v>-200000</v>
      </c>
      <c r="AQ225">
        <v>0</v>
      </c>
      <c r="AR225">
        <v>0</v>
      </c>
      <c r="AS225">
        <v>200000</v>
      </c>
      <c r="AT225">
        <v>-200000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200000</v>
      </c>
      <c r="BN225">
        <v>-200000</v>
      </c>
      <c r="BO225">
        <v>0</v>
      </c>
      <c r="BP225" t="s">
        <v>675</v>
      </c>
    </row>
    <row r="226" spans="1:68" x14ac:dyDescent="0.35">
      <c r="A226" t="s">
        <v>677</v>
      </c>
      <c r="B226">
        <v>25000000</v>
      </c>
      <c r="C226">
        <v>0</v>
      </c>
      <c r="D226">
        <v>0</v>
      </c>
      <c r="E226">
        <v>0</v>
      </c>
      <c r="F226">
        <v>25000000</v>
      </c>
      <c r="G226">
        <v>25000000</v>
      </c>
      <c r="H226">
        <v>0</v>
      </c>
      <c r="I226">
        <v>0</v>
      </c>
      <c r="J226">
        <v>0</v>
      </c>
      <c r="K226">
        <v>25000000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25000000</v>
      </c>
      <c r="AG226">
        <v>0</v>
      </c>
      <c r="AH226">
        <v>0</v>
      </c>
      <c r="AI226">
        <v>0</v>
      </c>
      <c r="AJ226">
        <v>25000000</v>
      </c>
      <c r="AK226" t="s">
        <v>678</v>
      </c>
      <c r="AL226" t="s">
        <v>679</v>
      </c>
    </row>
    <row r="227" spans="1:68" x14ac:dyDescent="0.35">
      <c r="A227" t="s">
        <v>680</v>
      </c>
      <c r="B227">
        <v>5000000</v>
      </c>
      <c r="C227">
        <v>4339132.76</v>
      </c>
      <c r="D227">
        <v>565935.99</v>
      </c>
      <c r="E227">
        <v>4905068.75</v>
      </c>
      <c r="F227">
        <v>94931.25</v>
      </c>
      <c r="G227">
        <v>5000000</v>
      </c>
      <c r="H227">
        <v>4339132.76</v>
      </c>
      <c r="I227">
        <v>565935.99</v>
      </c>
      <c r="J227">
        <v>4905068.75</v>
      </c>
      <c r="K227">
        <v>94931.25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5000000</v>
      </c>
      <c r="AG227">
        <v>4339132.76</v>
      </c>
      <c r="AH227">
        <v>565935.99</v>
      </c>
      <c r="AI227">
        <v>4905068.75</v>
      </c>
      <c r="AJ227">
        <v>94931.25</v>
      </c>
      <c r="AK227" t="s">
        <v>681</v>
      </c>
      <c r="AL227" t="s">
        <v>682</v>
      </c>
      <c r="AM227" t="s">
        <v>1410</v>
      </c>
      <c r="AN227">
        <v>0</v>
      </c>
      <c r="AO227">
        <v>4339133</v>
      </c>
      <c r="AP227">
        <v>-4339133</v>
      </c>
      <c r="AQ227">
        <v>0</v>
      </c>
      <c r="AR227">
        <v>0</v>
      </c>
      <c r="AS227">
        <v>4339133</v>
      </c>
      <c r="AT227">
        <v>-4339133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4339133</v>
      </c>
      <c r="BN227">
        <v>-4339133</v>
      </c>
      <c r="BO227">
        <v>0</v>
      </c>
      <c r="BP227" t="s">
        <v>681</v>
      </c>
    </row>
    <row r="228" spans="1:68" x14ac:dyDescent="0.35">
      <c r="A228" t="s">
        <v>683</v>
      </c>
      <c r="B228">
        <v>10000000</v>
      </c>
      <c r="C228">
        <v>0</v>
      </c>
      <c r="D228">
        <v>0</v>
      </c>
      <c r="E228">
        <v>0</v>
      </c>
      <c r="F228">
        <v>10000000</v>
      </c>
      <c r="G228">
        <v>10000000</v>
      </c>
      <c r="H228">
        <v>0</v>
      </c>
      <c r="I228">
        <v>0</v>
      </c>
      <c r="J228">
        <v>0</v>
      </c>
      <c r="K228">
        <v>10000000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10000000</v>
      </c>
      <c r="AG228">
        <v>0</v>
      </c>
      <c r="AH228">
        <v>0</v>
      </c>
      <c r="AI228">
        <v>0</v>
      </c>
      <c r="AJ228">
        <v>10000000</v>
      </c>
      <c r="AK228" t="s">
        <v>684</v>
      </c>
      <c r="AL228" t="s">
        <v>685</v>
      </c>
    </row>
    <row r="229" spans="1:68" x14ac:dyDescent="0.35">
      <c r="A229" t="s">
        <v>686</v>
      </c>
      <c r="B229">
        <v>1000000</v>
      </c>
      <c r="C229">
        <v>948860.72</v>
      </c>
      <c r="D229">
        <v>0</v>
      </c>
      <c r="E229">
        <v>948860.72</v>
      </c>
      <c r="F229">
        <v>51139.28</v>
      </c>
      <c r="G229">
        <v>1000000</v>
      </c>
      <c r="H229">
        <v>948860.72</v>
      </c>
      <c r="I229">
        <v>0</v>
      </c>
      <c r="J229">
        <v>948860.72</v>
      </c>
      <c r="K229">
        <v>51139.28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1000000</v>
      </c>
      <c r="AG229">
        <v>948860.72</v>
      </c>
      <c r="AH229">
        <v>0</v>
      </c>
      <c r="AI229">
        <v>948860.72</v>
      </c>
      <c r="AJ229">
        <v>51139.28</v>
      </c>
      <c r="AK229" t="s">
        <v>687</v>
      </c>
      <c r="AL229" t="s">
        <v>688</v>
      </c>
      <c r="AM229" t="s">
        <v>1411</v>
      </c>
      <c r="AN229">
        <v>0</v>
      </c>
      <c r="AO229">
        <v>948861</v>
      </c>
      <c r="AP229">
        <v>-948861</v>
      </c>
      <c r="AQ229">
        <v>0</v>
      </c>
      <c r="AR229">
        <v>0</v>
      </c>
      <c r="AS229">
        <v>948861</v>
      </c>
      <c r="AT229">
        <v>-948861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948861</v>
      </c>
      <c r="BN229">
        <v>-948861</v>
      </c>
      <c r="BO229">
        <v>0</v>
      </c>
      <c r="BP229" t="s">
        <v>687</v>
      </c>
    </row>
    <row r="230" spans="1:68" x14ac:dyDescent="0.35">
      <c r="A230" t="s">
        <v>689</v>
      </c>
      <c r="B230">
        <v>3871000</v>
      </c>
      <c r="C230">
        <v>0</v>
      </c>
      <c r="D230">
        <v>0</v>
      </c>
      <c r="E230">
        <v>0</v>
      </c>
      <c r="F230">
        <v>3871000</v>
      </c>
      <c r="G230">
        <v>3871000</v>
      </c>
      <c r="H230">
        <v>0</v>
      </c>
      <c r="I230">
        <v>0</v>
      </c>
      <c r="J230">
        <v>0</v>
      </c>
      <c r="K230">
        <v>3871000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3871000</v>
      </c>
      <c r="AG230">
        <v>0</v>
      </c>
      <c r="AH230">
        <v>0</v>
      </c>
      <c r="AI230">
        <v>0</v>
      </c>
      <c r="AJ230">
        <v>3871000</v>
      </c>
      <c r="AK230" t="s">
        <v>690</v>
      </c>
      <c r="AL230" t="s">
        <v>691</v>
      </c>
    </row>
    <row r="231" spans="1:68" x14ac:dyDescent="0.35">
      <c r="A231" t="s">
        <v>692</v>
      </c>
      <c r="B231">
        <v>2000000</v>
      </c>
      <c r="C231">
        <v>1904774.72</v>
      </c>
      <c r="D231">
        <v>50571.7</v>
      </c>
      <c r="E231">
        <v>1955346.42</v>
      </c>
      <c r="F231">
        <v>44653.58</v>
      </c>
      <c r="G231">
        <v>2000000</v>
      </c>
      <c r="H231">
        <v>1904774.72</v>
      </c>
      <c r="I231">
        <v>50571.7</v>
      </c>
      <c r="J231">
        <v>1955346.42</v>
      </c>
      <c r="K231">
        <v>44653.58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2000000</v>
      </c>
      <c r="AG231">
        <v>1904774.72</v>
      </c>
      <c r="AH231">
        <v>50571.7</v>
      </c>
      <c r="AI231">
        <v>1955346.42</v>
      </c>
      <c r="AJ231">
        <v>44653.58</v>
      </c>
      <c r="AK231" t="s">
        <v>693</v>
      </c>
      <c r="AL231" t="s">
        <v>694</v>
      </c>
      <c r="AM231" t="s">
        <v>1412</v>
      </c>
      <c r="AN231">
        <v>0</v>
      </c>
      <c r="AO231">
        <v>1904775</v>
      </c>
      <c r="AP231">
        <v>-1904775</v>
      </c>
      <c r="AQ231">
        <v>0</v>
      </c>
      <c r="AR231">
        <v>0</v>
      </c>
      <c r="AS231">
        <v>1904775</v>
      </c>
      <c r="AT231">
        <v>-1904775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1904775</v>
      </c>
      <c r="BN231">
        <v>-1904775</v>
      </c>
      <c r="BO231">
        <v>0</v>
      </c>
      <c r="BP231" t="s">
        <v>693</v>
      </c>
    </row>
    <row r="232" spans="1:68" x14ac:dyDescent="0.35">
      <c r="A232" t="s">
        <v>695</v>
      </c>
      <c r="B232">
        <v>6000000</v>
      </c>
      <c r="C232">
        <v>0</v>
      </c>
      <c r="D232">
        <v>0</v>
      </c>
      <c r="E232">
        <v>0</v>
      </c>
      <c r="F232">
        <v>6000000</v>
      </c>
      <c r="G232">
        <v>6000000</v>
      </c>
      <c r="H232">
        <v>0</v>
      </c>
      <c r="I232">
        <v>0</v>
      </c>
      <c r="J232">
        <v>0</v>
      </c>
      <c r="K232">
        <v>6000000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6000000</v>
      </c>
      <c r="AG232">
        <v>0</v>
      </c>
      <c r="AH232">
        <v>0</v>
      </c>
      <c r="AI232">
        <v>0</v>
      </c>
      <c r="AJ232">
        <v>6000000</v>
      </c>
      <c r="AK232" t="s">
        <v>696</v>
      </c>
      <c r="AL232" t="s">
        <v>697</v>
      </c>
    </row>
    <row r="233" spans="1:68" x14ac:dyDescent="0.35">
      <c r="A233" t="s">
        <v>698</v>
      </c>
      <c r="B233">
        <v>4000000</v>
      </c>
      <c r="C233">
        <v>0</v>
      </c>
      <c r="D233">
        <v>858422.71</v>
      </c>
      <c r="E233">
        <v>858422.71</v>
      </c>
      <c r="F233">
        <v>3141577.29</v>
      </c>
      <c r="G233">
        <v>4000000</v>
      </c>
      <c r="H233">
        <v>0</v>
      </c>
      <c r="I233">
        <v>858422.71</v>
      </c>
      <c r="J233">
        <v>858422.71</v>
      </c>
      <c r="K233">
        <v>3141577.29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4000000</v>
      </c>
      <c r="AG233">
        <v>0</v>
      </c>
      <c r="AH233">
        <v>858422.71</v>
      </c>
      <c r="AI233">
        <v>858422.71</v>
      </c>
      <c r="AJ233">
        <v>3141577.29</v>
      </c>
      <c r="AK233" t="s">
        <v>699</v>
      </c>
      <c r="AL233" t="s">
        <v>700</v>
      </c>
      <c r="AM233" t="s">
        <v>1413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699</v>
      </c>
    </row>
    <row r="234" spans="1:68" x14ac:dyDescent="0.35">
      <c r="A234" t="s">
        <v>701</v>
      </c>
      <c r="B234">
        <v>6000000</v>
      </c>
      <c r="C234">
        <v>0</v>
      </c>
      <c r="D234">
        <v>0</v>
      </c>
      <c r="E234">
        <v>0</v>
      </c>
      <c r="F234">
        <v>6000000</v>
      </c>
      <c r="G234">
        <v>6000000</v>
      </c>
      <c r="H234">
        <v>0</v>
      </c>
      <c r="I234">
        <v>0</v>
      </c>
      <c r="J234">
        <v>0</v>
      </c>
      <c r="K234">
        <v>6000000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6000000</v>
      </c>
      <c r="AG234">
        <v>0</v>
      </c>
      <c r="AH234">
        <v>0</v>
      </c>
      <c r="AI234">
        <v>0</v>
      </c>
      <c r="AJ234">
        <v>6000000</v>
      </c>
      <c r="AK234" t="s">
        <v>702</v>
      </c>
      <c r="AL234" t="s">
        <v>703</v>
      </c>
    </row>
    <row r="235" spans="1:68" x14ac:dyDescent="0.35">
      <c r="A235" t="s">
        <v>704</v>
      </c>
      <c r="B235">
        <v>4000000</v>
      </c>
      <c r="C235">
        <v>0</v>
      </c>
      <c r="D235">
        <v>0</v>
      </c>
      <c r="E235">
        <v>0</v>
      </c>
      <c r="F235">
        <v>4000000</v>
      </c>
      <c r="G235">
        <v>4000000</v>
      </c>
      <c r="H235">
        <v>0</v>
      </c>
      <c r="I235">
        <v>0</v>
      </c>
      <c r="J235">
        <v>0</v>
      </c>
      <c r="K235">
        <v>4000000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4000000</v>
      </c>
      <c r="AG235">
        <v>0</v>
      </c>
      <c r="AH235">
        <v>0</v>
      </c>
      <c r="AI235">
        <v>0</v>
      </c>
      <c r="AJ235">
        <v>4000000</v>
      </c>
      <c r="AK235" t="s">
        <v>705</v>
      </c>
      <c r="AL235" t="s">
        <v>706</v>
      </c>
    </row>
    <row r="236" spans="1:68" x14ac:dyDescent="0.35">
      <c r="A236" t="s">
        <v>707</v>
      </c>
      <c r="B236">
        <v>20000000</v>
      </c>
      <c r="C236">
        <v>18317185.27</v>
      </c>
      <c r="D236">
        <v>1610929.13</v>
      </c>
      <c r="E236">
        <v>19928114.399999999</v>
      </c>
      <c r="F236">
        <v>71885.600000000006</v>
      </c>
      <c r="G236">
        <v>20000000</v>
      </c>
      <c r="H236">
        <v>18317185.27</v>
      </c>
      <c r="I236">
        <v>1610929.13</v>
      </c>
      <c r="J236">
        <v>19928114.399999999</v>
      </c>
      <c r="K236">
        <v>71885.600000000006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20000000</v>
      </c>
      <c r="AG236">
        <v>18317185.27</v>
      </c>
      <c r="AH236">
        <v>1610929.13</v>
      </c>
      <c r="AI236">
        <v>19928114.399999999</v>
      </c>
      <c r="AJ236">
        <v>71885.600000000006</v>
      </c>
      <c r="AK236" t="s">
        <v>708</v>
      </c>
      <c r="AL236" t="s">
        <v>709</v>
      </c>
      <c r="AM236" t="s">
        <v>1414</v>
      </c>
      <c r="AN236">
        <v>0</v>
      </c>
      <c r="AO236">
        <v>18317185</v>
      </c>
      <c r="AP236">
        <v>-18317185</v>
      </c>
      <c r="AQ236">
        <v>0</v>
      </c>
      <c r="AR236">
        <v>0</v>
      </c>
      <c r="AS236">
        <v>18317185</v>
      </c>
      <c r="AT236">
        <v>-18317185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18317185</v>
      </c>
      <c r="BN236">
        <v>-18317185</v>
      </c>
      <c r="BO236">
        <v>0</v>
      </c>
      <c r="BP236" t="s">
        <v>708</v>
      </c>
    </row>
    <row r="237" spans="1:68" x14ac:dyDescent="0.35">
      <c r="A237" t="s">
        <v>710</v>
      </c>
      <c r="B237">
        <v>20000000</v>
      </c>
      <c r="C237">
        <v>392294.84</v>
      </c>
      <c r="D237">
        <v>12549241.66</v>
      </c>
      <c r="E237">
        <v>12941536.5</v>
      </c>
      <c r="F237">
        <v>7058463.5</v>
      </c>
      <c r="G237">
        <v>20000000</v>
      </c>
      <c r="H237">
        <v>392294.84</v>
      </c>
      <c r="I237">
        <v>12549241.66</v>
      </c>
      <c r="J237">
        <v>12941536.5</v>
      </c>
      <c r="K237">
        <v>7058463.5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20000000</v>
      </c>
      <c r="AG237">
        <v>392294.84</v>
      </c>
      <c r="AH237">
        <v>12549241.66</v>
      </c>
      <c r="AI237">
        <v>12941536.5</v>
      </c>
      <c r="AJ237">
        <v>7058463.5</v>
      </c>
      <c r="AK237" t="s">
        <v>711</v>
      </c>
      <c r="AL237" t="s">
        <v>712</v>
      </c>
      <c r="AM237" t="s">
        <v>1415</v>
      </c>
      <c r="AN237">
        <v>0</v>
      </c>
      <c r="AO237">
        <v>392295</v>
      </c>
      <c r="AP237">
        <v>-392295</v>
      </c>
      <c r="AQ237">
        <v>0</v>
      </c>
      <c r="AR237">
        <v>0</v>
      </c>
      <c r="AS237">
        <v>392295</v>
      </c>
      <c r="AT237">
        <v>-392295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392295</v>
      </c>
      <c r="BN237">
        <v>-392295</v>
      </c>
      <c r="BO237">
        <v>0</v>
      </c>
      <c r="BP237" t="s">
        <v>711</v>
      </c>
    </row>
    <row r="238" spans="1:68" x14ac:dyDescent="0.35">
      <c r="A238" t="s">
        <v>713</v>
      </c>
      <c r="B238">
        <v>4000000</v>
      </c>
      <c r="C238">
        <v>0</v>
      </c>
      <c r="D238">
        <v>0</v>
      </c>
      <c r="E238">
        <v>0</v>
      </c>
      <c r="F238">
        <v>4000000</v>
      </c>
      <c r="G238">
        <v>4000000</v>
      </c>
      <c r="H238">
        <v>0</v>
      </c>
      <c r="I238">
        <v>0</v>
      </c>
      <c r="J238">
        <v>0</v>
      </c>
      <c r="K238">
        <v>4000000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4000000</v>
      </c>
      <c r="AG238">
        <v>0</v>
      </c>
      <c r="AH238">
        <v>0</v>
      </c>
      <c r="AI238">
        <v>0</v>
      </c>
      <c r="AJ238">
        <v>4000000</v>
      </c>
      <c r="AK238" t="s">
        <v>714</v>
      </c>
      <c r="AL238" t="s">
        <v>715</v>
      </c>
    </row>
    <row r="239" spans="1:68" x14ac:dyDescent="0.35">
      <c r="A239" t="s">
        <v>716</v>
      </c>
      <c r="B239">
        <v>20000000</v>
      </c>
      <c r="C239">
        <v>0</v>
      </c>
      <c r="D239">
        <v>0</v>
      </c>
      <c r="E239">
        <v>0</v>
      </c>
      <c r="F239">
        <v>20000000</v>
      </c>
      <c r="G239">
        <v>20000000</v>
      </c>
      <c r="H239">
        <v>0</v>
      </c>
      <c r="I239">
        <v>0</v>
      </c>
      <c r="J239">
        <v>0</v>
      </c>
      <c r="K239">
        <v>20000000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20000000</v>
      </c>
      <c r="AG239">
        <v>0</v>
      </c>
      <c r="AH239">
        <v>0</v>
      </c>
      <c r="AI239">
        <v>0</v>
      </c>
      <c r="AJ239">
        <v>20000000</v>
      </c>
      <c r="AK239" t="s">
        <v>717</v>
      </c>
      <c r="AL239" t="s">
        <v>718</v>
      </c>
    </row>
    <row r="240" spans="1:68" x14ac:dyDescent="0.35">
      <c r="A240" t="s">
        <v>719</v>
      </c>
      <c r="B240">
        <v>2500000</v>
      </c>
      <c r="C240">
        <v>0</v>
      </c>
      <c r="D240">
        <v>0</v>
      </c>
      <c r="E240">
        <v>0</v>
      </c>
      <c r="F240">
        <v>2500000</v>
      </c>
      <c r="G240">
        <v>2500000</v>
      </c>
      <c r="H240">
        <v>0</v>
      </c>
      <c r="I240">
        <v>0</v>
      </c>
      <c r="J240">
        <v>0</v>
      </c>
      <c r="K240">
        <v>2500000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2500000</v>
      </c>
      <c r="AG240">
        <v>0</v>
      </c>
      <c r="AH240">
        <v>0</v>
      </c>
      <c r="AI240">
        <v>0</v>
      </c>
      <c r="AJ240">
        <v>2500000</v>
      </c>
      <c r="AK240" t="s">
        <v>720</v>
      </c>
      <c r="AL240" t="s">
        <v>721</v>
      </c>
    </row>
    <row r="241" spans="1:68" x14ac:dyDescent="0.35">
      <c r="A241" t="s">
        <v>722</v>
      </c>
      <c r="B241">
        <v>20238103.350000001</v>
      </c>
      <c r="C241">
        <v>20135000</v>
      </c>
      <c r="D241">
        <v>103103.35</v>
      </c>
      <c r="E241">
        <v>20238103.350000001</v>
      </c>
      <c r="F241">
        <v>0</v>
      </c>
      <c r="G241">
        <v>20238103.350000001</v>
      </c>
      <c r="H241">
        <v>20135000</v>
      </c>
      <c r="I241">
        <v>103103.35</v>
      </c>
      <c r="J241">
        <v>20238103.350000001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20238103.350000001</v>
      </c>
      <c r="AG241">
        <v>20135000</v>
      </c>
      <c r="AH241">
        <v>103103.35</v>
      </c>
      <c r="AI241">
        <v>20238103.350000001</v>
      </c>
      <c r="AJ241">
        <v>0</v>
      </c>
      <c r="AK241" t="s">
        <v>444</v>
      </c>
      <c r="AL241" t="s">
        <v>723</v>
      </c>
      <c r="AM241" t="s">
        <v>1416</v>
      </c>
      <c r="AN241">
        <v>0</v>
      </c>
      <c r="AO241">
        <v>20135000</v>
      </c>
      <c r="AP241">
        <v>-20135000</v>
      </c>
      <c r="AQ241">
        <v>0</v>
      </c>
      <c r="AR241">
        <v>0</v>
      </c>
      <c r="AS241">
        <v>20135000</v>
      </c>
      <c r="AT241">
        <v>-20135000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20135000</v>
      </c>
      <c r="BN241">
        <v>-20135000</v>
      </c>
      <c r="BO241">
        <v>0</v>
      </c>
      <c r="BP241" t="s">
        <v>444</v>
      </c>
    </row>
    <row r="242" spans="1:68" x14ac:dyDescent="0.35">
      <c r="A242" t="s">
        <v>724</v>
      </c>
      <c r="B242">
        <v>12200000</v>
      </c>
      <c r="C242">
        <v>9646348.8000000007</v>
      </c>
      <c r="D242">
        <v>64037.58</v>
      </c>
      <c r="E242">
        <v>9710386.3800000008</v>
      </c>
      <c r="F242">
        <v>2489613.62</v>
      </c>
      <c r="G242">
        <v>12200000</v>
      </c>
      <c r="H242">
        <v>9647695.9900000002</v>
      </c>
      <c r="I242">
        <v>64037.58</v>
      </c>
      <c r="J242">
        <v>9711733.5700000003</v>
      </c>
      <c r="K242">
        <v>2488266.4300000002</v>
      </c>
      <c r="L242">
        <v>0</v>
      </c>
      <c r="M242">
        <v>-1347.19</v>
      </c>
      <c r="N242">
        <v>0</v>
      </c>
      <c r="O242">
        <v>-1347.19</v>
      </c>
      <c r="P242">
        <v>1347.19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12200000</v>
      </c>
      <c r="AG242">
        <v>9646348.8000000007</v>
      </c>
      <c r="AH242">
        <v>64037.58</v>
      </c>
      <c r="AI242">
        <v>9710386.3800000008</v>
      </c>
      <c r="AJ242">
        <v>2489613.62</v>
      </c>
      <c r="AK242" t="s">
        <v>725</v>
      </c>
      <c r="AL242" t="s">
        <v>726</v>
      </c>
      <c r="AM242" t="s">
        <v>1417</v>
      </c>
      <c r="AN242">
        <v>0</v>
      </c>
      <c r="AO242">
        <v>9646349</v>
      </c>
      <c r="AP242">
        <v>-9646349</v>
      </c>
      <c r="AQ242">
        <v>0</v>
      </c>
      <c r="AR242">
        <v>0</v>
      </c>
      <c r="AS242">
        <v>9647696</v>
      </c>
      <c r="AT242">
        <v>-9647696</v>
      </c>
      <c r="AU242">
        <v>0</v>
      </c>
      <c r="AV242">
        <v>0</v>
      </c>
      <c r="AW242">
        <v>-1347</v>
      </c>
      <c r="AX242">
        <v>1347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9646349</v>
      </c>
      <c r="BN242">
        <v>-9646349</v>
      </c>
      <c r="BO242">
        <v>0</v>
      </c>
      <c r="BP242" t="s">
        <v>725</v>
      </c>
    </row>
    <row r="243" spans="1:68" x14ac:dyDescent="0.35">
      <c r="A243" t="s">
        <v>727</v>
      </c>
      <c r="B243">
        <v>1500000</v>
      </c>
      <c r="C243">
        <v>1201245.9099999999</v>
      </c>
      <c r="D243">
        <v>0</v>
      </c>
      <c r="E243">
        <v>1201245.9099999999</v>
      </c>
      <c r="F243">
        <v>298754.09000000003</v>
      </c>
      <c r="G243">
        <v>1500000</v>
      </c>
      <c r="H243">
        <v>1201245.9099999999</v>
      </c>
      <c r="I243">
        <v>0</v>
      </c>
      <c r="J243">
        <v>1201245.9099999999</v>
      </c>
      <c r="K243">
        <v>298754.09000000003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1500000</v>
      </c>
      <c r="AG243">
        <v>1201245.9099999999</v>
      </c>
      <c r="AH243">
        <v>0</v>
      </c>
      <c r="AI243">
        <v>1201245.9099999999</v>
      </c>
      <c r="AJ243">
        <v>298754.09000000003</v>
      </c>
      <c r="AK243" t="s">
        <v>728</v>
      </c>
      <c r="AL243" t="s">
        <v>729</v>
      </c>
      <c r="AM243" t="s">
        <v>1418</v>
      </c>
      <c r="AN243">
        <v>0</v>
      </c>
      <c r="AO243">
        <v>1201246</v>
      </c>
      <c r="AP243">
        <v>-1201246</v>
      </c>
      <c r="AQ243">
        <v>0</v>
      </c>
      <c r="AR243">
        <v>0</v>
      </c>
      <c r="AS243">
        <v>1201246</v>
      </c>
      <c r="AT243">
        <v>-1201246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1201246</v>
      </c>
      <c r="BN243">
        <v>-1201246</v>
      </c>
      <c r="BO243">
        <v>0</v>
      </c>
      <c r="BP243" t="s">
        <v>728</v>
      </c>
    </row>
    <row r="244" spans="1:68" x14ac:dyDescent="0.35">
      <c r="A244" t="s">
        <v>730</v>
      </c>
      <c r="B244">
        <v>3000000</v>
      </c>
      <c r="C244">
        <v>2706033.2</v>
      </c>
      <c r="D244">
        <v>0</v>
      </c>
      <c r="E244">
        <v>2706033.2</v>
      </c>
      <c r="F244">
        <v>293966.8</v>
      </c>
      <c r="G244">
        <v>3000000</v>
      </c>
      <c r="H244">
        <v>2706033.2</v>
      </c>
      <c r="I244">
        <v>0</v>
      </c>
      <c r="J244">
        <v>2706033.2</v>
      </c>
      <c r="K244">
        <v>293966.8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3000000</v>
      </c>
      <c r="AG244">
        <v>2706033.2</v>
      </c>
      <c r="AH244">
        <v>0</v>
      </c>
      <c r="AI244">
        <v>2706033.2</v>
      </c>
      <c r="AJ244">
        <v>293966.8</v>
      </c>
      <c r="AK244" t="s">
        <v>731</v>
      </c>
      <c r="AL244" t="s">
        <v>732</v>
      </c>
      <c r="AM244" t="s">
        <v>1419</v>
      </c>
      <c r="AN244">
        <v>0</v>
      </c>
      <c r="AO244">
        <v>2706033</v>
      </c>
      <c r="AP244">
        <v>-2706033</v>
      </c>
      <c r="AQ244">
        <v>0</v>
      </c>
      <c r="AR244">
        <v>0</v>
      </c>
      <c r="AS244">
        <v>2706033</v>
      </c>
      <c r="AT244">
        <v>-2706033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2706033</v>
      </c>
      <c r="BN244">
        <v>-2706033</v>
      </c>
      <c r="BO244">
        <v>0</v>
      </c>
      <c r="BP244" t="s">
        <v>731</v>
      </c>
    </row>
    <row r="245" spans="1:68" x14ac:dyDescent="0.35">
      <c r="A245" t="s">
        <v>733</v>
      </c>
      <c r="B245">
        <v>2300000</v>
      </c>
      <c r="C245">
        <v>1576461.71</v>
      </c>
      <c r="D245">
        <v>0</v>
      </c>
      <c r="E245">
        <v>1576461.71</v>
      </c>
      <c r="F245">
        <v>723538.29</v>
      </c>
      <c r="G245">
        <v>2300000</v>
      </c>
      <c r="H245">
        <v>1576461.71</v>
      </c>
      <c r="I245">
        <v>0</v>
      </c>
      <c r="J245">
        <v>1576461.71</v>
      </c>
      <c r="K245">
        <v>723538.29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2300000</v>
      </c>
      <c r="AG245">
        <v>1576461.71</v>
      </c>
      <c r="AH245">
        <v>0</v>
      </c>
      <c r="AI245">
        <v>1576461.71</v>
      </c>
      <c r="AJ245">
        <v>723538.29</v>
      </c>
      <c r="AK245" t="s">
        <v>734</v>
      </c>
      <c r="AL245" t="s">
        <v>735</v>
      </c>
      <c r="AM245" t="s">
        <v>1420</v>
      </c>
      <c r="AN245">
        <v>0</v>
      </c>
      <c r="AO245">
        <v>1576462</v>
      </c>
      <c r="AP245">
        <v>-1576462</v>
      </c>
      <c r="AQ245">
        <v>0</v>
      </c>
      <c r="AR245">
        <v>0</v>
      </c>
      <c r="AS245">
        <v>1576462</v>
      </c>
      <c r="AT245">
        <v>-1576462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1576462</v>
      </c>
      <c r="BN245">
        <v>-1576462</v>
      </c>
      <c r="BO245">
        <v>0</v>
      </c>
      <c r="BP245" t="s">
        <v>734</v>
      </c>
    </row>
    <row r="246" spans="1:68" x14ac:dyDescent="0.35">
      <c r="A246" t="s">
        <v>736</v>
      </c>
      <c r="B246">
        <v>10000000</v>
      </c>
      <c r="C246">
        <v>0</v>
      </c>
      <c r="D246">
        <v>8447806</v>
      </c>
      <c r="E246">
        <v>8447806</v>
      </c>
      <c r="F246">
        <v>1552194</v>
      </c>
      <c r="G246">
        <v>10000000</v>
      </c>
      <c r="H246">
        <v>0</v>
      </c>
      <c r="I246">
        <v>8447806</v>
      </c>
      <c r="J246">
        <v>8447806</v>
      </c>
      <c r="K246">
        <v>1552194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10000000</v>
      </c>
      <c r="AG246">
        <v>0</v>
      </c>
      <c r="AH246">
        <v>8447806</v>
      </c>
      <c r="AI246">
        <v>8447806</v>
      </c>
      <c r="AJ246">
        <v>1552194</v>
      </c>
      <c r="AK246" t="s">
        <v>737</v>
      </c>
      <c r="AL246" t="s">
        <v>738</v>
      </c>
    </row>
    <row r="247" spans="1:68" x14ac:dyDescent="0.35">
      <c r="A247" t="s">
        <v>739</v>
      </c>
      <c r="B247">
        <v>949500</v>
      </c>
      <c r="C247">
        <v>29500</v>
      </c>
      <c r="D247">
        <v>88500</v>
      </c>
      <c r="E247">
        <v>118000</v>
      </c>
      <c r="F247">
        <v>831500</v>
      </c>
      <c r="G247">
        <v>29500</v>
      </c>
      <c r="H247">
        <v>29500</v>
      </c>
      <c r="I247">
        <v>0</v>
      </c>
      <c r="J247">
        <v>29500</v>
      </c>
      <c r="K247">
        <v>0</v>
      </c>
      <c r="L247">
        <v>920000</v>
      </c>
      <c r="M247">
        <v>0</v>
      </c>
      <c r="N247">
        <v>88500</v>
      </c>
      <c r="O247">
        <v>88500</v>
      </c>
      <c r="P247">
        <v>831500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949500</v>
      </c>
      <c r="AG247">
        <v>29500</v>
      </c>
      <c r="AH247">
        <v>88500</v>
      </c>
      <c r="AI247">
        <v>118000</v>
      </c>
      <c r="AJ247">
        <v>831500</v>
      </c>
      <c r="AK247" t="s">
        <v>740</v>
      </c>
      <c r="AL247" t="s">
        <v>741</v>
      </c>
      <c r="AM247" t="s">
        <v>1421</v>
      </c>
      <c r="AN247">
        <v>0</v>
      </c>
      <c r="AO247">
        <v>29500</v>
      </c>
      <c r="AP247">
        <v>-29500</v>
      </c>
      <c r="AQ247">
        <v>0</v>
      </c>
      <c r="AR247">
        <v>0</v>
      </c>
      <c r="AS247">
        <v>29500</v>
      </c>
      <c r="AT247">
        <v>-29500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29500</v>
      </c>
      <c r="BN247">
        <v>-29500</v>
      </c>
      <c r="BO247">
        <v>0</v>
      </c>
      <c r="BP247" t="s">
        <v>740</v>
      </c>
    </row>
    <row r="248" spans="1:68" x14ac:dyDescent="0.35">
      <c r="A248" t="s">
        <v>742</v>
      </c>
      <c r="B248">
        <v>2500000</v>
      </c>
      <c r="C248">
        <v>2223127.84</v>
      </c>
      <c r="D248">
        <v>164853.04</v>
      </c>
      <c r="E248">
        <v>2387980.88</v>
      </c>
      <c r="F248">
        <v>112019.12</v>
      </c>
      <c r="G248">
        <v>2500000</v>
      </c>
      <c r="H248">
        <v>2223127.84</v>
      </c>
      <c r="I248">
        <v>164853.04</v>
      </c>
      <c r="J248">
        <v>2387980.88</v>
      </c>
      <c r="K248">
        <v>112019.12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2500000</v>
      </c>
      <c r="AG248">
        <v>2223127.84</v>
      </c>
      <c r="AH248">
        <v>164853.04</v>
      </c>
      <c r="AI248">
        <v>2387980.88</v>
      </c>
      <c r="AJ248">
        <v>112019.12</v>
      </c>
      <c r="AK248" t="s">
        <v>743</v>
      </c>
      <c r="AL248" t="s">
        <v>744</v>
      </c>
      <c r="AM248" t="s">
        <v>1422</v>
      </c>
      <c r="AN248">
        <v>0</v>
      </c>
      <c r="AO248">
        <v>2223128</v>
      </c>
      <c r="AP248">
        <v>-2223128</v>
      </c>
      <c r="AQ248">
        <v>0</v>
      </c>
      <c r="AR248">
        <v>0</v>
      </c>
      <c r="AS248">
        <v>2223128</v>
      </c>
      <c r="AT248">
        <v>-2223128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2223128</v>
      </c>
      <c r="BN248">
        <v>-2223128</v>
      </c>
      <c r="BO248">
        <v>0</v>
      </c>
      <c r="BP248" t="s">
        <v>743</v>
      </c>
    </row>
    <row r="249" spans="1:68" x14ac:dyDescent="0.35">
      <c r="A249" t="s">
        <v>745</v>
      </c>
      <c r="B249">
        <v>3189226.46</v>
      </c>
      <c r="C249">
        <v>1976979.6</v>
      </c>
      <c r="D249">
        <v>1025811.07</v>
      </c>
      <c r="E249">
        <v>3002790.67</v>
      </c>
      <c r="F249">
        <v>186435.79</v>
      </c>
      <c r="G249">
        <v>289226.46000000002</v>
      </c>
      <c r="H249">
        <v>289226.46000000002</v>
      </c>
      <c r="I249">
        <v>0</v>
      </c>
      <c r="J249">
        <v>289226.46000000002</v>
      </c>
      <c r="K249">
        <v>0</v>
      </c>
      <c r="L249">
        <v>2900000</v>
      </c>
      <c r="M249">
        <v>1687753.14</v>
      </c>
      <c r="N249">
        <v>1025811.07</v>
      </c>
      <c r="O249">
        <v>2713564.21</v>
      </c>
      <c r="P249">
        <v>186435.79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3189226.46</v>
      </c>
      <c r="AG249">
        <v>1976979.6</v>
      </c>
      <c r="AH249">
        <v>1025811.07</v>
      </c>
      <c r="AI249">
        <v>3002790.67</v>
      </c>
      <c r="AJ249">
        <v>186435.79</v>
      </c>
      <c r="AK249" t="s">
        <v>746</v>
      </c>
      <c r="AL249" t="s">
        <v>747</v>
      </c>
      <c r="AM249" t="s">
        <v>1423</v>
      </c>
      <c r="AN249">
        <v>0</v>
      </c>
      <c r="AO249">
        <v>1976980</v>
      </c>
      <c r="AP249">
        <v>-1976980</v>
      </c>
      <c r="AQ249">
        <v>0</v>
      </c>
      <c r="AR249">
        <v>0</v>
      </c>
      <c r="AS249">
        <v>289226</v>
      </c>
      <c r="AT249">
        <v>-289226</v>
      </c>
      <c r="AU249">
        <v>0</v>
      </c>
      <c r="AV249">
        <v>0</v>
      </c>
      <c r="AW249">
        <v>1687753</v>
      </c>
      <c r="AX249">
        <v>-1687753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1976980</v>
      </c>
      <c r="BN249">
        <v>-1976980</v>
      </c>
      <c r="BO249">
        <v>0</v>
      </c>
      <c r="BP249" t="s">
        <v>746</v>
      </c>
    </row>
    <row r="250" spans="1:68" x14ac:dyDescent="0.35">
      <c r="A250" t="s">
        <v>748</v>
      </c>
      <c r="B250">
        <v>2239372.2799999998</v>
      </c>
      <c r="C250">
        <v>436486.97</v>
      </c>
      <c r="D250">
        <v>1802885.25</v>
      </c>
      <c r="E250">
        <v>2239372.2200000002</v>
      </c>
      <c r="F250">
        <v>0.06</v>
      </c>
      <c r="G250">
        <v>239372.28</v>
      </c>
      <c r="H250">
        <v>239372.28</v>
      </c>
      <c r="I250">
        <v>0</v>
      </c>
      <c r="J250">
        <v>239372.28</v>
      </c>
      <c r="K250">
        <v>0</v>
      </c>
      <c r="L250">
        <v>2000000</v>
      </c>
      <c r="M250">
        <v>197114.69</v>
      </c>
      <c r="N250">
        <v>1802885.25</v>
      </c>
      <c r="O250">
        <v>1999999.94</v>
      </c>
      <c r="P250">
        <v>0.06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2239372.2799999998</v>
      </c>
      <c r="AG250">
        <v>436486.97</v>
      </c>
      <c r="AH250">
        <v>1802885.25</v>
      </c>
      <c r="AI250">
        <v>2239372.2200000002</v>
      </c>
      <c r="AJ250">
        <v>0.06</v>
      </c>
      <c r="AK250" t="s">
        <v>749</v>
      </c>
      <c r="AL250" t="s">
        <v>750</v>
      </c>
      <c r="AM250" t="s">
        <v>1424</v>
      </c>
      <c r="AN250">
        <v>0</v>
      </c>
      <c r="AO250">
        <v>436487</v>
      </c>
      <c r="AP250">
        <v>-436487</v>
      </c>
      <c r="AQ250">
        <v>0</v>
      </c>
      <c r="AR250">
        <v>0</v>
      </c>
      <c r="AS250">
        <v>239372</v>
      </c>
      <c r="AT250">
        <v>-239372</v>
      </c>
      <c r="AU250">
        <v>0</v>
      </c>
      <c r="AV250">
        <v>0</v>
      </c>
      <c r="AW250">
        <v>197115</v>
      </c>
      <c r="AX250">
        <v>-197115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436487</v>
      </c>
      <c r="BN250">
        <v>-436487</v>
      </c>
      <c r="BO250">
        <v>0</v>
      </c>
      <c r="BP250" t="s">
        <v>749</v>
      </c>
    </row>
    <row r="251" spans="1:68" x14ac:dyDescent="0.35">
      <c r="A251" t="s">
        <v>751</v>
      </c>
      <c r="B251">
        <v>3500000</v>
      </c>
      <c r="C251">
        <v>1053101.8400000001</v>
      </c>
      <c r="D251">
        <v>53374.65</v>
      </c>
      <c r="E251">
        <v>1106476.49</v>
      </c>
      <c r="F251">
        <v>2393523.5099999998</v>
      </c>
      <c r="G251">
        <v>3500000</v>
      </c>
      <c r="H251">
        <v>1053102.3</v>
      </c>
      <c r="I251">
        <v>53374.65</v>
      </c>
      <c r="J251">
        <v>1106476.95</v>
      </c>
      <c r="K251">
        <v>2393523.0499999998</v>
      </c>
      <c r="L251">
        <v>0</v>
      </c>
      <c r="M251">
        <v>-0.46</v>
      </c>
      <c r="N251">
        <v>0</v>
      </c>
      <c r="O251">
        <v>-0.46</v>
      </c>
      <c r="P251">
        <v>0.46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3500000</v>
      </c>
      <c r="AG251">
        <v>1053101.8400000001</v>
      </c>
      <c r="AH251">
        <v>53374.65</v>
      </c>
      <c r="AI251">
        <v>1106476.49</v>
      </c>
      <c r="AJ251">
        <v>2393523.5099999998</v>
      </c>
      <c r="AK251" t="s">
        <v>752</v>
      </c>
      <c r="AL251" t="s">
        <v>753</v>
      </c>
      <c r="AM251" t="s">
        <v>1425</v>
      </c>
      <c r="AN251">
        <v>0</v>
      </c>
      <c r="AO251">
        <v>1053102</v>
      </c>
      <c r="AP251">
        <v>-1053102</v>
      </c>
      <c r="AQ251">
        <v>0</v>
      </c>
      <c r="AR251">
        <v>0</v>
      </c>
      <c r="AS251">
        <v>1053102</v>
      </c>
      <c r="AT251">
        <v>-1053102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1053102</v>
      </c>
      <c r="BN251">
        <v>-1053102</v>
      </c>
      <c r="BO251">
        <v>0</v>
      </c>
      <c r="BP251" t="s">
        <v>752</v>
      </c>
    </row>
    <row r="252" spans="1:68" x14ac:dyDescent="0.35">
      <c r="A252" t="s">
        <v>754</v>
      </c>
      <c r="B252">
        <v>2509946.2999999998</v>
      </c>
      <c r="C252">
        <v>2120625.94</v>
      </c>
      <c r="D252">
        <v>374009.23</v>
      </c>
      <c r="E252">
        <v>2494635.17</v>
      </c>
      <c r="F252">
        <v>15311.13</v>
      </c>
      <c r="G252">
        <v>1609946.3</v>
      </c>
      <c r="H252">
        <v>1609946.3</v>
      </c>
      <c r="I252">
        <v>0</v>
      </c>
      <c r="J252">
        <v>1609946.3</v>
      </c>
      <c r="K252">
        <v>0</v>
      </c>
      <c r="L252">
        <v>900000</v>
      </c>
      <c r="M252">
        <v>510679.64</v>
      </c>
      <c r="N252">
        <v>374009.23</v>
      </c>
      <c r="O252">
        <v>884688.87</v>
      </c>
      <c r="P252">
        <v>15311.13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2509946.2999999998</v>
      </c>
      <c r="AG252">
        <v>2120625.94</v>
      </c>
      <c r="AH252">
        <v>374009.23</v>
      </c>
      <c r="AI252">
        <v>2494635.17</v>
      </c>
      <c r="AJ252">
        <v>15311.13</v>
      </c>
      <c r="AK252" t="s">
        <v>755</v>
      </c>
      <c r="AL252" t="s">
        <v>756</v>
      </c>
      <c r="AM252" t="s">
        <v>1426</v>
      </c>
      <c r="AN252">
        <v>0</v>
      </c>
      <c r="AO252">
        <v>2120626</v>
      </c>
      <c r="AP252">
        <v>-2120626</v>
      </c>
      <c r="AQ252">
        <v>0</v>
      </c>
      <c r="AR252">
        <v>0</v>
      </c>
      <c r="AS252">
        <v>1609946</v>
      </c>
      <c r="AT252">
        <v>-1609946</v>
      </c>
      <c r="AU252">
        <v>0</v>
      </c>
      <c r="AV252">
        <v>0</v>
      </c>
      <c r="AW252">
        <v>510680</v>
      </c>
      <c r="AX252">
        <v>-510680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2120626</v>
      </c>
      <c r="BN252">
        <v>-2120626</v>
      </c>
      <c r="BO252">
        <v>0</v>
      </c>
      <c r="BP252" t="s">
        <v>755</v>
      </c>
    </row>
    <row r="253" spans="1:68" x14ac:dyDescent="0.35">
      <c r="A253" t="s">
        <v>757</v>
      </c>
      <c r="B253">
        <v>638000</v>
      </c>
      <c r="C253">
        <v>0</v>
      </c>
      <c r="D253">
        <v>0</v>
      </c>
      <c r="E253">
        <v>0</v>
      </c>
      <c r="F253">
        <v>638000</v>
      </c>
      <c r="G253">
        <v>638000</v>
      </c>
      <c r="H253">
        <v>0</v>
      </c>
      <c r="I253">
        <v>0</v>
      </c>
      <c r="J253">
        <v>0</v>
      </c>
      <c r="K253">
        <v>638000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638000</v>
      </c>
      <c r="AG253">
        <v>0</v>
      </c>
      <c r="AH253">
        <v>0</v>
      </c>
      <c r="AI253">
        <v>0</v>
      </c>
      <c r="AJ253">
        <v>638000</v>
      </c>
      <c r="AK253" t="s">
        <v>758</v>
      </c>
      <c r="AL253" t="s">
        <v>759</v>
      </c>
    </row>
    <row r="254" spans="1:68" x14ac:dyDescent="0.35">
      <c r="A254" t="s">
        <v>760</v>
      </c>
      <c r="B254">
        <v>6500000</v>
      </c>
      <c r="C254">
        <v>0</v>
      </c>
      <c r="D254">
        <v>0</v>
      </c>
      <c r="E254">
        <v>0</v>
      </c>
      <c r="F254">
        <v>6500000</v>
      </c>
      <c r="G254">
        <v>6500000</v>
      </c>
      <c r="H254">
        <v>0</v>
      </c>
      <c r="I254">
        <v>0</v>
      </c>
      <c r="J254">
        <v>0</v>
      </c>
      <c r="K254">
        <v>6500000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6500000</v>
      </c>
      <c r="AG254">
        <v>0</v>
      </c>
      <c r="AH254">
        <v>0</v>
      </c>
      <c r="AI254">
        <v>0</v>
      </c>
      <c r="AJ254">
        <v>6500000</v>
      </c>
      <c r="AK254" t="s">
        <v>761</v>
      </c>
      <c r="AL254" t="s">
        <v>762</v>
      </c>
    </row>
    <row r="255" spans="1:68" x14ac:dyDescent="0.35">
      <c r="A255" t="s">
        <v>763</v>
      </c>
      <c r="B255">
        <v>3301961.2</v>
      </c>
      <c r="C255">
        <v>2697007.85</v>
      </c>
      <c r="D255">
        <v>156691.25</v>
      </c>
      <c r="E255">
        <v>2853699.1</v>
      </c>
      <c r="F255">
        <v>448262.1</v>
      </c>
      <c r="G255">
        <v>2101961.2000000002</v>
      </c>
      <c r="H255">
        <v>2101961.2000000002</v>
      </c>
      <c r="I255">
        <v>0</v>
      </c>
      <c r="J255">
        <v>2101961.2000000002</v>
      </c>
      <c r="K255">
        <v>0</v>
      </c>
      <c r="L255">
        <v>1200000</v>
      </c>
      <c r="M255">
        <v>595046.65</v>
      </c>
      <c r="N255">
        <v>156691.25</v>
      </c>
      <c r="O255">
        <v>751737.9</v>
      </c>
      <c r="P255">
        <v>448262.1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3301961.2</v>
      </c>
      <c r="AG255">
        <v>2697007.85</v>
      </c>
      <c r="AH255">
        <v>156691.25</v>
      </c>
      <c r="AI255">
        <v>2853699.1</v>
      </c>
      <c r="AJ255">
        <v>448262.1</v>
      </c>
      <c r="AK255" t="s">
        <v>764</v>
      </c>
      <c r="AL255" t="s">
        <v>765</v>
      </c>
      <c r="AM255" t="s">
        <v>1427</v>
      </c>
      <c r="AN255">
        <v>0</v>
      </c>
      <c r="AO255">
        <v>2697008</v>
      </c>
      <c r="AP255">
        <v>-2697008</v>
      </c>
      <c r="AQ255">
        <v>0</v>
      </c>
      <c r="AR255">
        <v>0</v>
      </c>
      <c r="AS255">
        <v>2101961</v>
      </c>
      <c r="AT255">
        <v>-2101961</v>
      </c>
      <c r="AU255">
        <v>0</v>
      </c>
      <c r="AV255">
        <v>0</v>
      </c>
      <c r="AW255">
        <v>595047</v>
      </c>
      <c r="AX255">
        <v>-595047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2697008</v>
      </c>
      <c r="BN255">
        <v>-2697008</v>
      </c>
      <c r="BO255">
        <v>0</v>
      </c>
      <c r="BP255" t="s">
        <v>764</v>
      </c>
    </row>
    <row r="256" spans="1:68" x14ac:dyDescent="0.35">
      <c r="A256" t="s">
        <v>766</v>
      </c>
      <c r="B256">
        <v>11322971.460000001</v>
      </c>
      <c r="C256">
        <v>6983020.46</v>
      </c>
      <c r="D256">
        <v>2977236.45</v>
      </c>
      <c r="E256">
        <v>9960256.9100000001</v>
      </c>
      <c r="F256">
        <v>1362714.55</v>
      </c>
      <c r="G256">
        <v>4822971.46</v>
      </c>
      <c r="H256">
        <v>4822971.46</v>
      </c>
      <c r="I256">
        <v>0</v>
      </c>
      <c r="J256">
        <v>4822971.46</v>
      </c>
      <c r="K256">
        <v>0</v>
      </c>
      <c r="L256">
        <v>6500000</v>
      </c>
      <c r="M256">
        <v>2160049</v>
      </c>
      <c r="N256">
        <v>2977236.45</v>
      </c>
      <c r="O256">
        <v>5137285.45</v>
      </c>
      <c r="P256">
        <v>1362714.55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11322971.460000001</v>
      </c>
      <c r="AG256">
        <v>6983020.46</v>
      </c>
      <c r="AH256">
        <v>2977236.45</v>
      </c>
      <c r="AI256">
        <v>9960256.9100000001</v>
      </c>
      <c r="AJ256">
        <v>1362714.55</v>
      </c>
      <c r="AK256" t="s">
        <v>767</v>
      </c>
      <c r="AL256" t="s">
        <v>768</v>
      </c>
      <c r="AM256" t="s">
        <v>1428</v>
      </c>
      <c r="AN256">
        <v>0</v>
      </c>
      <c r="AO256">
        <v>6983020</v>
      </c>
      <c r="AP256">
        <v>-6983020</v>
      </c>
      <c r="AQ256">
        <v>0</v>
      </c>
      <c r="AR256">
        <v>0</v>
      </c>
      <c r="AS256">
        <v>4822971</v>
      </c>
      <c r="AT256">
        <v>-4822971</v>
      </c>
      <c r="AU256">
        <v>0</v>
      </c>
      <c r="AV256">
        <v>0</v>
      </c>
      <c r="AW256">
        <v>2160049</v>
      </c>
      <c r="AX256">
        <v>-2160049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6983020</v>
      </c>
      <c r="BN256">
        <v>-6983020</v>
      </c>
      <c r="BO256">
        <v>0</v>
      </c>
      <c r="BP256" t="s">
        <v>767</v>
      </c>
    </row>
    <row r="257" spans="1:68" x14ac:dyDescent="0.35">
      <c r="A257" t="s">
        <v>769</v>
      </c>
      <c r="B257">
        <v>1500000</v>
      </c>
      <c r="C257">
        <v>712377.94</v>
      </c>
      <c r="D257">
        <v>0</v>
      </c>
      <c r="E257">
        <v>712377.94</v>
      </c>
      <c r="F257">
        <v>787622.06</v>
      </c>
      <c r="G257">
        <v>1500000</v>
      </c>
      <c r="H257">
        <v>712377.94</v>
      </c>
      <c r="I257">
        <v>0</v>
      </c>
      <c r="J257">
        <v>712377.94</v>
      </c>
      <c r="K257">
        <v>787622.06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1500000</v>
      </c>
      <c r="AG257">
        <v>712377.94</v>
      </c>
      <c r="AH257">
        <v>0</v>
      </c>
      <c r="AI257">
        <v>712377.94</v>
      </c>
      <c r="AJ257">
        <v>787622.06</v>
      </c>
      <c r="AK257" t="s">
        <v>770</v>
      </c>
      <c r="AL257" t="s">
        <v>771</v>
      </c>
      <c r="AM257" t="s">
        <v>1429</v>
      </c>
      <c r="AN257">
        <v>0</v>
      </c>
      <c r="AO257">
        <v>712378</v>
      </c>
      <c r="AP257">
        <v>-712378</v>
      </c>
      <c r="AQ257">
        <v>0</v>
      </c>
      <c r="AR257">
        <v>0</v>
      </c>
      <c r="AS257">
        <v>712378</v>
      </c>
      <c r="AT257">
        <v>-712378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712378</v>
      </c>
      <c r="BN257">
        <v>-712378</v>
      </c>
      <c r="BO257">
        <v>0</v>
      </c>
      <c r="BP257" t="s">
        <v>770</v>
      </c>
    </row>
    <row r="258" spans="1:68" x14ac:dyDescent="0.35">
      <c r="A258" t="s">
        <v>772</v>
      </c>
      <c r="B258">
        <v>6000000</v>
      </c>
      <c r="C258">
        <v>0</v>
      </c>
      <c r="D258">
        <v>4100715.94</v>
      </c>
      <c r="E258">
        <v>4100715.94</v>
      </c>
      <c r="F258">
        <v>1899284.06</v>
      </c>
      <c r="G258">
        <v>6000000</v>
      </c>
      <c r="H258">
        <v>0</v>
      </c>
      <c r="I258">
        <v>4100715.94</v>
      </c>
      <c r="J258">
        <v>4100715.94</v>
      </c>
      <c r="K258">
        <v>1899284.06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6000000</v>
      </c>
      <c r="AG258">
        <v>0</v>
      </c>
      <c r="AH258">
        <v>4100715.94</v>
      </c>
      <c r="AI258">
        <v>4100715.94</v>
      </c>
      <c r="AJ258">
        <v>1899284.06</v>
      </c>
      <c r="AK258" t="s">
        <v>773</v>
      </c>
      <c r="AL258" t="s">
        <v>774</v>
      </c>
    </row>
    <row r="259" spans="1:68" x14ac:dyDescent="0.35">
      <c r="A259" t="s">
        <v>775</v>
      </c>
      <c r="B259">
        <v>22690896.649999999</v>
      </c>
      <c r="C259">
        <v>0</v>
      </c>
      <c r="D259">
        <v>0</v>
      </c>
      <c r="E259">
        <v>0</v>
      </c>
      <c r="F259">
        <v>22690896.649999999</v>
      </c>
      <c r="G259">
        <v>22690896.649999999</v>
      </c>
      <c r="H259">
        <v>0</v>
      </c>
      <c r="I259">
        <v>0</v>
      </c>
      <c r="J259">
        <v>0</v>
      </c>
      <c r="K259">
        <v>22690896.649999999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22690896.649999999</v>
      </c>
      <c r="AG259">
        <v>0</v>
      </c>
      <c r="AH259">
        <v>0</v>
      </c>
      <c r="AI259">
        <v>0</v>
      </c>
      <c r="AJ259">
        <v>22690896.649999999</v>
      </c>
      <c r="AK259" t="s">
        <v>471</v>
      </c>
      <c r="AL259" t="s">
        <v>776</v>
      </c>
    </row>
    <row r="260" spans="1:68" x14ac:dyDescent="0.35">
      <c r="A260" t="s">
        <v>777</v>
      </c>
      <c r="B260">
        <v>9738361.9700000007</v>
      </c>
      <c r="C260">
        <v>5038361.97</v>
      </c>
      <c r="D260">
        <v>1290872.46</v>
      </c>
      <c r="E260">
        <v>6329234.4299999997</v>
      </c>
      <c r="F260">
        <v>3409127.54</v>
      </c>
      <c r="G260">
        <v>5038361.97</v>
      </c>
      <c r="H260">
        <v>5038361.97</v>
      </c>
      <c r="I260">
        <v>0</v>
      </c>
      <c r="J260">
        <v>5038361.97</v>
      </c>
      <c r="K260">
        <v>0</v>
      </c>
      <c r="L260">
        <v>4700000</v>
      </c>
      <c r="M260">
        <v>0</v>
      </c>
      <c r="N260">
        <v>1290872.46</v>
      </c>
      <c r="O260">
        <v>1290872.46</v>
      </c>
      <c r="P260">
        <v>3409127.54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9738361.9700000007</v>
      </c>
      <c r="AG260">
        <v>5038361.97</v>
      </c>
      <c r="AH260">
        <v>1290872.46</v>
      </c>
      <c r="AI260">
        <v>6329234.4299999997</v>
      </c>
      <c r="AJ260">
        <v>3409127.54</v>
      </c>
      <c r="AK260" t="s">
        <v>778</v>
      </c>
      <c r="AL260" t="s">
        <v>779</v>
      </c>
      <c r="AM260" t="s">
        <v>1430</v>
      </c>
      <c r="AN260">
        <v>0</v>
      </c>
      <c r="AO260">
        <v>5038362</v>
      </c>
      <c r="AP260">
        <v>-5038362</v>
      </c>
      <c r="AQ260">
        <v>0</v>
      </c>
      <c r="AR260">
        <v>0</v>
      </c>
      <c r="AS260">
        <v>5038362</v>
      </c>
      <c r="AT260">
        <v>-5038362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5038362</v>
      </c>
      <c r="BN260">
        <v>-5038362</v>
      </c>
      <c r="BO260">
        <v>0</v>
      </c>
      <c r="BP260" t="s">
        <v>778</v>
      </c>
    </row>
    <row r="261" spans="1:68" x14ac:dyDescent="0.35">
      <c r="A261" t="s">
        <v>780</v>
      </c>
      <c r="B261">
        <v>3500000</v>
      </c>
      <c r="C261">
        <v>0</v>
      </c>
      <c r="D261">
        <v>2965514.31</v>
      </c>
      <c r="E261">
        <v>2965514.31</v>
      </c>
      <c r="F261">
        <v>534485.68999999994</v>
      </c>
      <c r="G261">
        <v>3500000</v>
      </c>
      <c r="H261">
        <v>0</v>
      </c>
      <c r="I261">
        <v>2965514.31</v>
      </c>
      <c r="J261">
        <v>2965514.31</v>
      </c>
      <c r="K261">
        <v>534485.68999999994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3500000</v>
      </c>
      <c r="AG261">
        <v>0</v>
      </c>
      <c r="AH261">
        <v>2965514.31</v>
      </c>
      <c r="AI261">
        <v>2965514.31</v>
      </c>
      <c r="AJ261">
        <v>534485.68999999994</v>
      </c>
      <c r="AK261" t="s">
        <v>781</v>
      </c>
      <c r="AL261" t="s">
        <v>782</v>
      </c>
    </row>
    <row r="262" spans="1:68" x14ac:dyDescent="0.35">
      <c r="A262" t="s">
        <v>783</v>
      </c>
      <c r="B262">
        <v>1258000</v>
      </c>
      <c r="C262">
        <v>848341.37</v>
      </c>
      <c r="D262">
        <v>0</v>
      </c>
      <c r="E262">
        <v>848341.37</v>
      </c>
      <c r="F262">
        <v>409658.63</v>
      </c>
      <c r="G262">
        <v>1258000</v>
      </c>
      <c r="H262">
        <v>848341.37</v>
      </c>
      <c r="I262">
        <v>0</v>
      </c>
      <c r="J262">
        <v>848341.37</v>
      </c>
      <c r="K262">
        <v>409658.63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1258000</v>
      </c>
      <c r="AG262">
        <v>848341.37</v>
      </c>
      <c r="AH262">
        <v>0</v>
      </c>
      <c r="AI262">
        <v>848341.37</v>
      </c>
      <c r="AJ262">
        <v>409658.63</v>
      </c>
      <c r="AK262" t="s">
        <v>784</v>
      </c>
      <c r="AL262" t="s">
        <v>785</v>
      </c>
      <c r="AM262" t="s">
        <v>1431</v>
      </c>
      <c r="AN262">
        <v>0</v>
      </c>
      <c r="AO262">
        <v>848341</v>
      </c>
      <c r="AP262">
        <v>-848341</v>
      </c>
      <c r="AQ262">
        <v>0</v>
      </c>
      <c r="AR262">
        <v>0</v>
      </c>
      <c r="AS262">
        <v>848341</v>
      </c>
      <c r="AT262">
        <v>-848341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848341</v>
      </c>
      <c r="BN262">
        <v>-848341</v>
      </c>
      <c r="BO262">
        <v>0</v>
      </c>
      <c r="BP262" t="s">
        <v>784</v>
      </c>
    </row>
    <row r="263" spans="1:68" x14ac:dyDescent="0.35">
      <c r="A263" t="s">
        <v>786</v>
      </c>
      <c r="B263">
        <v>4231000</v>
      </c>
      <c r="C263">
        <v>3545623.62</v>
      </c>
      <c r="D263">
        <v>2166.64</v>
      </c>
      <c r="E263">
        <v>3547790.26</v>
      </c>
      <c r="F263">
        <v>683209.74</v>
      </c>
      <c r="G263">
        <v>4231000</v>
      </c>
      <c r="H263">
        <v>3547790.71</v>
      </c>
      <c r="I263">
        <v>2166.64</v>
      </c>
      <c r="J263">
        <v>3549957.35</v>
      </c>
      <c r="K263">
        <v>681042.65</v>
      </c>
      <c r="L263">
        <v>0</v>
      </c>
      <c r="M263">
        <v>-2167.09</v>
      </c>
      <c r="N263">
        <v>0</v>
      </c>
      <c r="O263">
        <v>-2167.09</v>
      </c>
      <c r="P263">
        <v>2167.09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4231000</v>
      </c>
      <c r="AG263">
        <v>3545623.62</v>
      </c>
      <c r="AH263">
        <v>2166.64</v>
      </c>
      <c r="AI263">
        <v>3547790.26</v>
      </c>
      <c r="AJ263">
        <v>683209.74</v>
      </c>
      <c r="AK263" t="s">
        <v>787</v>
      </c>
      <c r="AL263" t="s">
        <v>788</v>
      </c>
      <c r="AM263" t="s">
        <v>1432</v>
      </c>
      <c r="AN263">
        <v>0</v>
      </c>
      <c r="AO263">
        <v>3545624</v>
      </c>
      <c r="AP263">
        <v>-3545624</v>
      </c>
      <c r="AQ263">
        <v>0</v>
      </c>
      <c r="AR263">
        <v>0</v>
      </c>
      <c r="AS263">
        <v>3547791</v>
      </c>
      <c r="AT263">
        <v>-3547791</v>
      </c>
      <c r="AU263">
        <v>0</v>
      </c>
      <c r="AV263">
        <v>0</v>
      </c>
      <c r="AW263">
        <v>-2167</v>
      </c>
      <c r="AX263">
        <v>2167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3545624</v>
      </c>
      <c r="BN263">
        <v>-3545624</v>
      </c>
      <c r="BO263">
        <v>0</v>
      </c>
      <c r="BP263" t="s">
        <v>787</v>
      </c>
    </row>
    <row r="264" spans="1:68" x14ac:dyDescent="0.35">
      <c r="A264" t="s">
        <v>789</v>
      </c>
      <c r="B264">
        <v>3000000</v>
      </c>
      <c r="C264">
        <v>0</v>
      </c>
      <c r="D264">
        <v>0</v>
      </c>
      <c r="E264">
        <v>0</v>
      </c>
      <c r="F264">
        <v>3000000</v>
      </c>
      <c r="G264">
        <v>3000000</v>
      </c>
      <c r="H264">
        <v>0</v>
      </c>
      <c r="I264">
        <v>0</v>
      </c>
      <c r="J264">
        <v>0</v>
      </c>
      <c r="K264">
        <v>3000000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3000000</v>
      </c>
      <c r="AG264">
        <v>0</v>
      </c>
      <c r="AH264">
        <v>0</v>
      </c>
      <c r="AI264">
        <v>0</v>
      </c>
      <c r="AJ264">
        <v>3000000</v>
      </c>
      <c r="AK264" t="s">
        <v>790</v>
      </c>
      <c r="AL264" t="s">
        <v>791</v>
      </c>
    </row>
    <row r="265" spans="1:68" x14ac:dyDescent="0.35">
      <c r="A265" t="s">
        <v>792</v>
      </c>
      <c r="B265">
        <v>4064000</v>
      </c>
      <c r="C265">
        <v>4059370.63</v>
      </c>
      <c r="D265">
        <v>0</v>
      </c>
      <c r="E265">
        <v>4059370.63</v>
      </c>
      <c r="F265">
        <v>4629.37</v>
      </c>
      <c r="G265">
        <v>4064000</v>
      </c>
      <c r="H265">
        <v>4059370.63</v>
      </c>
      <c r="I265">
        <v>0</v>
      </c>
      <c r="J265">
        <v>4059370.63</v>
      </c>
      <c r="K265">
        <v>4629.37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4064000</v>
      </c>
      <c r="AG265">
        <v>4059370.63</v>
      </c>
      <c r="AH265">
        <v>0</v>
      </c>
      <c r="AI265">
        <v>4059370.63</v>
      </c>
      <c r="AJ265">
        <v>4629.37</v>
      </c>
      <c r="AK265" t="s">
        <v>793</v>
      </c>
      <c r="AL265" t="s">
        <v>794</v>
      </c>
      <c r="AM265" t="s">
        <v>1433</v>
      </c>
      <c r="AN265">
        <v>0</v>
      </c>
      <c r="AO265">
        <v>4059371</v>
      </c>
      <c r="AP265">
        <v>-4059371</v>
      </c>
      <c r="AQ265">
        <v>0</v>
      </c>
      <c r="AR265">
        <v>0</v>
      </c>
      <c r="AS265">
        <v>4059371</v>
      </c>
      <c r="AT265">
        <v>-4059371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4059371</v>
      </c>
      <c r="BN265">
        <v>-4059371</v>
      </c>
      <c r="BO265">
        <v>0</v>
      </c>
      <c r="BP265" t="s">
        <v>793</v>
      </c>
    </row>
    <row r="266" spans="1:68" x14ac:dyDescent="0.35">
      <c r="A266" t="s">
        <v>795</v>
      </c>
      <c r="B266">
        <v>4669000</v>
      </c>
      <c r="C266">
        <v>3167766</v>
      </c>
      <c r="D266">
        <v>831062.66</v>
      </c>
      <c r="E266">
        <v>3998828.66</v>
      </c>
      <c r="F266">
        <v>670171.34</v>
      </c>
      <c r="G266">
        <v>4669000</v>
      </c>
      <c r="H266">
        <v>3167766</v>
      </c>
      <c r="I266">
        <v>831062.66</v>
      </c>
      <c r="J266">
        <v>3998828.66</v>
      </c>
      <c r="K266">
        <v>670171.34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4669000</v>
      </c>
      <c r="AG266">
        <v>3167766</v>
      </c>
      <c r="AH266">
        <v>831062.66</v>
      </c>
      <c r="AI266">
        <v>3998828.66</v>
      </c>
      <c r="AJ266">
        <v>670171.34</v>
      </c>
      <c r="AK266" t="s">
        <v>796</v>
      </c>
      <c r="AL266" t="s">
        <v>797</v>
      </c>
      <c r="AM266" t="s">
        <v>1434</v>
      </c>
      <c r="AN266">
        <v>0</v>
      </c>
      <c r="AO266">
        <v>3167766</v>
      </c>
      <c r="AP266">
        <v>-3167766</v>
      </c>
      <c r="AQ266">
        <v>0</v>
      </c>
      <c r="AR266">
        <v>0</v>
      </c>
      <c r="AS266">
        <v>3167766</v>
      </c>
      <c r="AT266">
        <v>-3167766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3167766</v>
      </c>
      <c r="BN266">
        <v>-3167766</v>
      </c>
      <c r="BO266">
        <v>0</v>
      </c>
      <c r="BP266" t="s">
        <v>796</v>
      </c>
    </row>
    <row r="267" spans="1:68" x14ac:dyDescent="0.35">
      <c r="A267" t="s">
        <v>798</v>
      </c>
      <c r="B267">
        <v>1000000</v>
      </c>
      <c r="C267">
        <v>0</v>
      </c>
      <c r="D267">
        <v>0</v>
      </c>
      <c r="E267">
        <v>0</v>
      </c>
      <c r="F267">
        <v>1000000</v>
      </c>
      <c r="G267">
        <v>1000000</v>
      </c>
      <c r="H267">
        <v>0</v>
      </c>
      <c r="I267">
        <v>0</v>
      </c>
      <c r="J267">
        <v>0</v>
      </c>
      <c r="K267">
        <v>1000000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1000000</v>
      </c>
      <c r="AG267">
        <v>0</v>
      </c>
      <c r="AH267">
        <v>0</v>
      </c>
      <c r="AI267">
        <v>0</v>
      </c>
      <c r="AJ267">
        <v>1000000</v>
      </c>
      <c r="AK267" t="s">
        <v>624</v>
      </c>
      <c r="AL267" t="s">
        <v>799</v>
      </c>
    </row>
    <row r="268" spans="1:68" x14ac:dyDescent="0.35">
      <c r="A268" t="s">
        <v>800</v>
      </c>
      <c r="B268">
        <v>500000</v>
      </c>
      <c r="C268">
        <v>408848.96</v>
      </c>
      <c r="D268">
        <v>791.26</v>
      </c>
      <c r="E268">
        <v>409640.22</v>
      </c>
      <c r="F268">
        <v>90359.78</v>
      </c>
      <c r="G268">
        <v>500000</v>
      </c>
      <c r="H268">
        <v>408848.96</v>
      </c>
      <c r="I268">
        <v>791.26</v>
      </c>
      <c r="J268">
        <v>409640.22</v>
      </c>
      <c r="K268">
        <v>90359.78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500000</v>
      </c>
      <c r="AG268">
        <v>408848.96</v>
      </c>
      <c r="AH268">
        <v>791.26</v>
      </c>
      <c r="AI268">
        <v>409640.22</v>
      </c>
      <c r="AJ268">
        <v>90359.78</v>
      </c>
      <c r="AK268" t="s">
        <v>801</v>
      </c>
      <c r="AL268" t="s">
        <v>802</v>
      </c>
      <c r="AM268" t="s">
        <v>1435</v>
      </c>
      <c r="AN268">
        <v>0</v>
      </c>
      <c r="AO268">
        <v>408849</v>
      </c>
      <c r="AP268">
        <v>-408849</v>
      </c>
      <c r="AQ268">
        <v>0</v>
      </c>
      <c r="AR268">
        <v>0</v>
      </c>
      <c r="AS268">
        <v>408849</v>
      </c>
      <c r="AT268">
        <v>-408849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408849</v>
      </c>
      <c r="BN268">
        <v>-408849</v>
      </c>
      <c r="BO268">
        <v>0</v>
      </c>
      <c r="BP268" t="s">
        <v>801</v>
      </c>
    </row>
    <row r="269" spans="1:68" x14ac:dyDescent="0.35">
      <c r="A269" t="s">
        <v>803</v>
      </c>
      <c r="B269">
        <v>1887000</v>
      </c>
      <c r="C269">
        <v>1557481.25</v>
      </c>
      <c r="D269">
        <v>42783.39</v>
      </c>
      <c r="E269">
        <v>1600264.64</v>
      </c>
      <c r="F269">
        <v>286735.35999999999</v>
      </c>
      <c r="G269">
        <v>1887000</v>
      </c>
      <c r="H269">
        <v>1562683.41</v>
      </c>
      <c r="I269">
        <v>42783.39</v>
      </c>
      <c r="J269">
        <v>1605466.8</v>
      </c>
      <c r="K269">
        <v>281533.2</v>
      </c>
      <c r="L269">
        <v>0</v>
      </c>
      <c r="M269">
        <v>-5202.16</v>
      </c>
      <c r="N269">
        <v>0</v>
      </c>
      <c r="O269">
        <v>-5202.16</v>
      </c>
      <c r="P269">
        <v>5202.16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1887000</v>
      </c>
      <c r="AG269">
        <v>1557481.25</v>
      </c>
      <c r="AH269">
        <v>42783.39</v>
      </c>
      <c r="AI269">
        <v>1600264.64</v>
      </c>
      <c r="AJ269">
        <v>286735.35999999999</v>
      </c>
      <c r="AK269" t="s">
        <v>804</v>
      </c>
      <c r="AL269" t="s">
        <v>805</v>
      </c>
      <c r="AM269" t="s">
        <v>1436</v>
      </c>
      <c r="AN269">
        <v>0</v>
      </c>
      <c r="AO269">
        <v>1557481</v>
      </c>
      <c r="AP269">
        <v>-1557481</v>
      </c>
      <c r="AQ269">
        <v>0</v>
      </c>
      <c r="AR269">
        <v>0</v>
      </c>
      <c r="AS269">
        <v>1562683</v>
      </c>
      <c r="AT269">
        <v>-1562683</v>
      </c>
      <c r="AU269">
        <v>0</v>
      </c>
      <c r="AV269">
        <v>0</v>
      </c>
      <c r="AW269">
        <v>-5202</v>
      </c>
      <c r="AX269">
        <v>5202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1557481</v>
      </c>
      <c r="BN269">
        <v>-1557481</v>
      </c>
      <c r="BO269">
        <v>0</v>
      </c>
      <c r="BP269" t="s">
        <v>804</v>
      </c>
    </row>
    <row r="270" spans="1:68" x14ac:dyDescent="0.35">
      <c r="A270" t="s">
        <v>806</v>
      </c>
      <c r="B270">
        <v>6308633.1500000004</v>
      </c>
      <c r="C270">
        <v>5192884.62</v>
      </c>
      <c r="D270">
        <v>1045741.99</v>
      </c>
      <c r="E270">
        <v>6238626.6100000003</v>
      </c>
      <c r="F270">
        <v>70006.539999999994</v>
      </c>
      <c r="G270">
        <v>1008633.15</v>
      </c>
      <c r="H270">
        <v>1008633.15</v>
      </c>
      <c r="I270">
        <v>0</v>
      </c>
      <c r="J270">
        <v>1008633.15</v>
      </c>
      <c r="K270">
        <v>0</v>
      </c>
      <c r="L270">
        <v>5300000</v>
      </c>
      <c r="M270">
        <v>4184251.47</v>
      </c>
      <c r="N270">
        <v>1045741.99</v>
      </c>
      <c r="O270">
        <v>5229993.46</v>
      </c>
      <c r="P270">
        <v>70006.539999999994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6308633.1500000004</v>
      </c>
      <c r="AG270">
        <v>5192884.62</v>
      </c>
      <c r="AH270">
        <v>1045741.99</v>
      </c>
      <c r="AI270">
        <v>6238626.6100000003</v>
      </c>
      <c r="AJ270">
        <v>70006.539999999994</v>
      </c>
      <c r="AK270" t="s">
        <v>807</v>
      </c>
      <c r="AL270" t="s">
        <v>808</v>
      </c>
      <c r="AM270" t="s">
        <v>1437</v>
      </c>
      <c r="AN270">
        <v>0</v>
      </c>
      <c r="AO270">
        <v>5192885</v>
      </c>
      <c r="AP270">
        <v>-5192885</v>
      </c>
      <c r="AQ270">
        <v>0</v>
      </c>
      <c r="AR270">
        <v>0</v>
      </c>
      <c r="AS270">
        <v>1008633</v>
      </c>
      <c r="AT270">
        <v>-1008633</v>
      </c>
      <c r="AU270">
        <v>0</v>
      </c>
      <c r="AV270">
        <v>0</v>
      </c>
      <c r="AW270">
        <v>4184251</v>
      </c>
      <c r="AX270">
        <v>-4184251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5192885</v>
      </c>
      <c r="BN270">
        <v>-5192885</v>
      </c>
      <c r="BO270">
        <v>0</v>
      </c>
      <c r="BP270" t="s">
        <v>807</v>
      </c>
    </row>
    <row r="271" spans="1:68" x14ac:dyDescent="0.35">
      <c r="A271" t="s">
        <v>809</v>
      </c>
      <c r="B271">
        <v>10192938.99</v>
      </c>
      <c r="C271">
        <v>10129933.58</v>
      </c>
      <c r="D271">
        <v>0</v>
      </c>
      <c r="E271">
        <v>10129933.58</v>
      </c>
      <c r="F271">
        <v>63005.41</v>
      </c>
      <c r="G271">
        <v>9842938.9900000002</v>
      </c>
      <c r="H271">
        <v>9842938.9900000002</v>
      </c>
      <c r="I271">
        <v>0</v>
      </c>
      <c r="J271">
        <v>9842938.9900000002</v>
      </c>
      <c r="K271">
        <v>0</v>
      </c>
      <c r="L271">
        <v>350000</v>
      </c>
      <c r="M271">
        <v>286994.59000000003</v>
      </c>
      <c r="N271">
        <v>0</v>
      </c>
      <c r="O271">
        <v>286994.59000000003</v>
      </c>
      <c r="P271">
        <v>63005.41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10192938.99</v>
      </c>
      <c r="AG271">
        <v>10129933.58</v>
      </c>
      <c r="AH271">
        <v>0</v>
      </c>
      <c r="AI271">
        <v>10129933.58</v>
      </c>
      <c r="AJ271">
        <v>63005.41</v>
      </c>
      <c r="AK271" t="s">
        <v>810</v>
      </c>
      <c r="AL271" t="s">
        <v>811</v>
      </c>
      <c r="AM271" t="s">
        <v>1438</v>
      </c>
      <c r="AN271">
        <v>0</v>
      </c>
      <c r="AO271">
        <v>10129934</v>
      </c>
      <c r="AP271">
        <v>-10129934</v>
      </c>
      <c r="AQ271">
        <v>0</v>
      </c>
      <c r="AR271">
        <v>0</v>
      </c>
      <c r="AS271">
        <v>9842939</v>
      </c>
      <c r="AT271">
        <v>-9842939</v>
      </c>
      <c r="AU271">
        <v>0</v>
      </c>
      <c r="AV271">
        <v>0</v>
      </c>
      <c r="AW271">
        <v>286995</v>
      </c>
      <c r="AX271">
        <v>-286995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10129934</v>
      </c>
      <c r="BN271">
        <v>-10129934</v>
      </c>
      <c r="BO271">
        <v>0</v>
      </c>
      <c r="BP271" t="s">
        <v>810</v>
      </c>
    </row>
    <row r="272" spans="1:68" x14ac:dyDescent="0.35">
      <c r="A272" t="s">
        <v>812</v>
      </c>
      <c r="B272">
        <v>5787293.2599999998</v>
      </c>
      <c r="C272">
        <v>1181482.1000000001</v>
      </c>
      <c r="D272">
        <v>3110871.38</v>
      </c>
      <c r="E272">
        <v>4292353.4800000004</v>
      </c>
      <c r="F272">
        <v>1494939.78</v>
      </c>
      <c r="G272">
        <v>87293.26</v>
      </c>
      <c r="H272">
        <v>87293.26</v>
      </c>
      <c r="I272">
        <v>0</v>
      </c>
      <c r="J272">
        <v>87293.26</v>
      </c>
      <c r="K272">
        <v>0</v>
      </c>
      <c r="L272">
        <v>5700000</v>
      </c>
      <c r="M272">
        <v>1094188.8400000001</v>
      </c>
      <c r="N272">
        <v>3110871.38</v>
      </c>
      <c r="O272">
        <v>4205060.22</v>
      </c>
      <c r="P272">
        <v>1494939.78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5787293.2599999998</v>
      </c>
      <c r="AG272">
        <v>1181482.1000000001</v>
      </c>
      <c r="AH272">
        <v>3110871.38</v>
      </c>
      <c r="AI272">
        <v>4292353.4800000004</v>
      </c>
      <c r="AJ272">
        <v>1494939.78</v>
      </c>
      <c r="AK272" t="s">
        <v>813</v>
      </c>
      <c r="AL272" t="s">
        <v>814</v>
      </c>
      <c r="AM272" t="s">
        <v>1439</v>
      </c>
      <c r="AN272">
        <v>0</v>
      </c>
      <c r="AO272">
        <v>1181482</v>
      </c>
      <c r="AP272">
        <v>-1181482</v>
      </c>
      <c r="AQ272">
        <v>0</v>
      </c>
      <c r="AR272">
        <v>0</v>
      </c>
      <c r="AS272">
        <v>87293</v>
      </c>
      <c r="AT272">
        <v>-87293</v>
      </c>
      <c r="AU272">
        <v>0</v>
      </c>
      <c r="AV272">
        <v>0</v>
      </c>
      <c r="AW272">
        <v>1094189</v>
      </c>
      <c r="AX272">
        <v>-1094189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1181482</v>
      </c>
      <c r="BN272">
        <v>-1181482</v>
      </c>
      <c r="BO272">
        <v>0</v>
      </c>
      <c r="BP272" t="s">
        <v>813</v>
      </c>
    </row>
    <row r="273" spans="1:68" x14ac:dyDescent="0.35">
      <c r="A273" t="s">
        <v>815</v>
      </c>
      <c r="B273">
        <v>4500000</v>
      </c>
      <c r="C273">
        <v>0</v>
      </c>
      <c r="D273">
        <v>0</v>
      </c>
      <c r="E273">
        <v>0</v>
      </c>
      <c r="F273">
        <v>4500000</v>
      </c>
      <c r="G273">
        <v>4500000</v>
      </c>
      <c r="H273">
        <v>0</v>
      </c>
      <c r="I273">
        <v>0</v>
      </c>
      <c r="J273">
        <v>0</v>
      </c>
      <c r="K273">
        <v>4500000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4500000</v>
      </c>
      <c r="AG273">
        <v>0</v>
      </c>
      <c r="AH273">
        <v>0</v>
      </c>
      <c r="AI273">
        <v>0</v>
      </c>
      <c r="AJ273">
        <v>4500000</v>
      </c>
      <c r="AK273" t="s">
        <v>816</v>
      </c>
      <c r="AL273" t="s">
        <v>817</v>
      </c>
    </row>
    <row r="274" spans="1:68" x14ac:dyDescent="0.35">
      <c r="A274" t="s">
        <v>818</v>
      </c>
      <c r="B274">
        <v>8700000</v>
      </c>
      <c r="C274">
        <v>7830000</v>
      </c>
      <c r="D274">
        <v>870000</v>
      </c>
      <c r="E274">
        <v>8700000</v>
      </c>
      <c r="F274">
        <v>0</v>
      </c>
      <c r="G274">
        <v>7830000</v>
      </c>
      <c r="H274">
        <v>7830000</v>
      </c>
      <c r="I274">
        <v>0</v>
      </c>
      <c r="J274">
        <v>7830000</v>
      </c>
      <c r="K274">
        <v>0</v>
      </c>
      <c r="L274">
        <v>870000</v>
      </c>
      <c r="M274">
        <v>0</v>
      </c>
      <c r="N274">
        <v>870000</v>
      </c>
      <c r="O274">
        <v>870000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8700000</v>
      </c>
      <c r="AG274">
        <v>7830000</v>
      </c>
      <c r="AH274">
        <v>870000</v>
      </c>
      <c r="AI274">
        <v>8700000</v>
      </c>
      <c r="AJ274">
        <v>0</v>
      </c>
      <c r="AK274" t="s">
        <v>819</v>
      </c>
      <c r="AL274" t="s">
        <v>820</v>
      </c>
      <c r="AM274" t="s">
        <v>1440</v>
      </c>
      <c r="AN274">
        <v>0</v>
      </c>
      <c r="AO274">
        <v>7830000</v>
      </c>
      <c r="AP274">
        <v>-7830000</v>
      </c>
      <c r="AQ274">
        <v>0</v>
      </c>
      <c r="AR274">
        <v>0</v>
      </c>
      <c r="AS274">
        <v>7830000</v>
      </c>
      <c r="AT274">
        <v>-7830000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7830000</v>
      </c>
      <c r="BN274">
        <v>-7830000</v>
      </c>
      <c r="BO274">
        <v>0</v>
      </c>
      <c r="BP274" t="s">
        <v>819</v>
      </c>
    </row>
    <row r="275" spans="1:68" x14ac:dyDescent="0.35">
      <c r="A275" t="s">
        <v>821</v>
      </c>
      <c r="B275">
        <v>700000</v>
      </c>
      <c r="C275">
        <v>538209.39</v>
      </c>
      <c r="D275">
        <v>0</v>
      </c>
      <c r="E275">
        <v>538209.39</v>
      </c>
      <c r="F275">
        <v>161790.60999999999</v>
      </c>
      <c r="G275">
        <v>700000</v>
      </c>
      <c r="H275">
        <v>538209.39</v>
      </c>
      <c r="I275">
        <v>0</v>
      </c>
      <c r="J275">
        <v>538209.39</v>
      </c>
      <c r="K275">
        <v>161790.60999999999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700000</v>
      </c>
      <c r="AG275">
        <v>538209.39</v>
      </c>
      <c r="AH275">
        <v>0</v>
      </c>
      <c r="AI275">
        <v>538209.39</v>
      </c>
      <c r="AJ275">
        <v>161790.60999999999</v>
      </c>
      <c r="AK275" t="s">
        <v>822</v>
      </c>
      <c r="AL275" t="s">
        <v>823</v>
      </c>
      <c r="AM275" t="s">
        <v>1441</v>
      </c>
      <c r="AN275">
        <v>0</v>
      </c>
      <c r="AO275">
        <v>538209</v>
      </c>
      <c r="AP275">
        <v>-538209</v>
      </c>
      <c r="AQ275">
        <v>0</v>
      </c>
      <c r="AR275">
        <v>0</v>
      </c>
      <c r="AS275">
        <v>538209</v>
      </c>
      <c r="AT275">
        <v>-538209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538209</v>
      </c>
      <c r="BN275">
        <v>-538209</v>
      </c>
      <c r="BO275">
        <v>0</v>
      </c>
      <c r="BP275" t="s">
        <v>822</v>
      </c>
    </row>
    <row r="276" spans="1:68" x14ac:dyDescent="0.35">
      <c r="A276" t="s">
        <v>824</v>
      </c>
      <c r="B276">
        <v>400000</v>
      </c>
      <c r="C276">
        <v>377929.74</v>
      </c>
      <c r="D276">
        <v>0</v>
      </c>
      <c r="E276">
        <v>377929.74</v>
      </c>
      <c r="F276">
        <v>22070.26</v>
      </c>
      <c r="G276">
        <v>400000</v>
      </c>
      <c r="H276">
        <v>377929.74</v>
      </c>
      <c r="I276">
        <v>0</v>
      </c>
      <c r="J276">
        <v>377929.74</v>
      </c>
      <c r="K276">
        <v>22070.26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400000</v>
      </c>
      <c r="AG276">
        <v>377929.74</v>
      </c>
      <c r="AH276">
        <v>0</v>
      </c>
      <c r="AI276">
        <v>377929.74</v>
      </c>
      <c r="AJ276">
        <v>22070.26</v>
      </c>
      <c r="AK276" t="s">
        <v>825</v>
      </c>
      <c r="AL276" t="s">
        <v>826</v>
      </c>
      <c r="AM276" t="s">
        <v>1442</v>
      </c>
      <c r="AN276">
        <v>0</v>
      </c>
      <c r="AO276">
        <v>377930</v>
      </c>
      <c r="AP276">
        <v>-377930</v>
      </c>
      <c r="AQ276">
        <v>0</v>
      </c>
      <c r="AR276">
        <v>0</v>
      </c>
      <c r="AS276">
        <v>377930</v>
      </c>
      <c r="AT276">
        <v>-377930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377930</v>
      </c>
      <c r="BN276">
        <v>-377930</v>
      </c>
      <c r="BO276">
        <v>0</v>
      </c>
      <c r="BP276" t="s">
        <v>825</v>
      </c>
    </row>
    <row r="277" spans="1:68" x14ac:dyDescent="0.35">
      <c r="A277" t="s">
        <v>827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s">
        <v>828</v>
      </c>
      <c r="AL277" t="s">
        <v>829</v>
      </c>
    </row>
    <row r="278" spans="1:68" x14ac:dyDescent="0.35">
      <c r="A278" t="s">
        <v>830</v>
      </c>
      <c r="B278">
        <v>3000000</v>
      </c>
      <c r="C278">
        <v>2939786.11</v>
      </c>
      <c r="D278">
        <v>14100.5</v>
      </c>
      <c r="E278">
        <v>2953886.61</v>
      </c>
      <c r="F278">
        <v>46113.39</v>
      </c>
      <c r="G278">
        <v>3000000</v>
      </c>
      <c r="H278">
        <v>2939786.11</v>
      </c>
      <c r="I278">
        <v>14100.5</v>
      </c>
      <c r="J278">
        <v>2953886.61</v>
      </c>
      <c r="K278">
        <v>46113.39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3000000</v>
      </c>
      <c r="AG278">
        <v>2939786.11</v>
      </c>
      <c r="AH278">
        <v>14100.5</v>
      </c>
      <c r="AI278">
        <v>2953886.61</v>
      </c>
      <c r="AJ278">
        <v>46113.39</v>
      </c>
      <c r="AK278" t="s">
        <v>831</v>
      </c>
      <c r="AL278" t="s">
        <v>832</v>
      </c>
      <c r="AM278" t="s">
        <v>1443</v>
      </c>
      <c r="AN278">
        <v>0</v>
      </c>
      <c r="AO278">
        <v>2939786</v>
      </c>
      <c r="AP278">
        <v>-2939786</v>
      </c>
      <c r="AQ278">
        <v>0</v>
      </c>
      <c r="AR278">
        <v>0</v>
      </c>
      <c r="AS278">
        <v>2939786</v>
      </c>
      <c r="AT278">
        <v>-2939786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2939786</v>
      </c>
      <c r="BN278">
        <v>-2939786</v>
      </c>
      <c r="BO278">
        <v>0</v>
      </c>
      <c r="BP278" t="s">
        <v>831</v>
      </c>
    </row>
    <row r="279" spans="1:68" x14ac:dyDescent="0.35">
      <c r="A279" t="s">
        <v>833</v>
      </c>
      <c r="B279">
        <v>1200000</v>
      </c>
      <c r="C279">
        <v>925927.79</v>
      </c>
      <c r="D279">
        <v>138087.54</v>
      </c>
      <c r="E279">
        <v>1064015.33</v>
      </c>
      <c r="F279">
        <v>135984.67000000001</v>
      </c>
      <c r="G279">
        <v>1200000</v>
      </c>
      <c r="H279">
        <v>925927.79</v>
      </c>
      <c r="I279">
        <v>138087.54</v>
      </c>
      <c r="J279">
        <v>1064015.33</v>
      </c>
      <c r="K279">
        <v>135984.67000000001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1200000</v>
      </c>
      <c r="AG279">
        <v>925927.79</v>
      </c>
      <c r="AH279">
        <v>138087.54</v>
      </c>
      <c r="AI279">
        <v>1064015.33</v>
      </c>
      <c r="AJ279">
        <v>135984.67000000001</v>
      </c>
      <c r="AK279" t="s">
        <v>834</v>
      </c>
      <c r="AL279" t="s">
        <v>835</v>
      </c>
      <c r="AM279" t="s">
        <v>1444</v>
      </c>
      <c r="AN279">
        <v>0</v>
      </c>
      <c r="AO279">
        <v>925928</v>
      </c>
      <c r="AP279">
        <v>-925928</v>
      </c>
      <c r="AQ279">
        <v>0</v>
      </c>
      <c r="AR279">
        <v>0</v>
      </c>
      <c r="AS279">
        <v>925928</v>
      </c>
      <c r="AT279">
        <v>-925928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925928</v>
      </c>
      <c r="BN279">
        <v>-925928</v>
      </c>
      <c r="BO279">
        <v>0</v>
      </c>
      <c r="BP279" t="s">
        <v>834</v>
      </c>
    </row>
    <row r="280" spans="1:68" x14ac:dyDescent="0.35">
      <c r="A280" t="s">
        <v>836</v>
      </c>
      <c r="B280">
        <v>490000</v>
      </c>
      <c r="C280">
        <v>277241.44</v>
      </c>
      <c r="D280">
        <v>46683.5</v>
      </c>
      <c r="E280">
        <v>323924.94</v>
      </c>
      <c r="F280">
        <v>166075.06</v>
      </c>
      <c r="G280">
        <v>490000</v>
      </c>
      <c r="H280">
        <v>277241.44</v>
      </c>
      <c r="I280">
        <v>46683.5</v>
      </c>
      <c r="J280">
        <v>323924.94</v>
      </c>
      <c r="K280">
        <v>166075.06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490000</v>
      </c>
      <c r="AG280">
        <v>277241.44</v>
      </c>
      <c r="AH280">
        <v>46683.5</v>
      </c>
      <c r="AI280">
        <v>323924.94</v>
      </c>
      <c r="AJ280">
        <v>166075.06</v>
      </c>
      <c r="AK280" t="s">
        <v>837</v>
      </c>
      <c r="AL280" t="s">
        <v>838</v>
      </c>
      <c r="AM280" t="s">
        <v>1445</v>
      </c>
      <c r="AN280">
        <v>0</v>
      </c>
      <c r="AO280">
        <v>277241</v>
      </c>
      <c r="AP280">
        <v>-277241</v>
      </c>
      <c r="AQ280">
        <v>0</v>
      </c>
      <c r="AR280">
        <v>0</v>
      </c>
      <c r="AS280">
        <v>277241</v>
      </c>
      <c r="AT280">
        <v>-277241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277241</v>
      </c>
      <c r="BN280">
        <v>-277241</v>
      </c>
      <c r="BO280">
        <v>0</v>
      </c>
      <c r="BP280" t="s">
        <v>837</v>
      </c>
    </row>
    <row r="281" spans="1:68" x14ac:dyDescent="0.35">
      <c r="A281" t="s">
        <v>839</v>
      </c>
      <c r="B281">
        <v>400000</v>
      </c>
      <c r="C281">
        <v>295612.65999999997</v>
      </c>
      <c r="D281">
        <v>50605.64</v>
      </c>
      <c r="E281">
        <v>346218.3</v>
      </c>
      <c r="F281">
        <v>53781.7</v>
      </c>
      <c r="G281">
        <v>400000</v>
      </c>
      <c r="H281">
        <v>295612.65999999997</v>
      </c>
      <c r="I281">
        <v>50605.64</v>
      </c>
      <c r="J281">
        <v>346218.3</v>
      </c>
      <c r="K281">
        <v>53781.7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400000</v>
      </c>
      <c r="AG281">
        <v>295612.65999999997</v>
      </c>
      <c r="AH281">
        <v>50605.64</v>
      </c>
      <c r="AI281">
        <v>346218.3</v>
      </c>
      <c r="AJ281">
        <v>53781.7</v>
      </c>
      <c r="AK281" t="s">
        <v>840</v>
      </c>
      <c r="AL281" t="s">
        <v>841</v>
      </c>
      <c r="AM281" t="s">
        <v>1446</v>
      </c>
      <c r="AN281">
        <v>0</v>
      </c>
      <c r="AO281">
        <v>295613</v>
      </c>
      <c r="AP281">
        <v>-295613</v>
      </c>
      <c r="AQ281">
        <v>0</v>
      </c>
      <c r="AR281">
        <v>0</v>
      </c>
      <c r="AS281">
        <v>295613</v>
      </c>
      <c r="AT281">
        <v>-295613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295613</v>
      </c>
      <c r="BN281">
        <v>-295613</v>
      </c>
      <c r="BO281">
        <v>0</v>
      </c>
      <c r="BP281" t="s">
        <v>840</v>
      </c>
    </row>
    <row r="282" spans="1:68" x14ac:dyDescent="0.35">
      <c r="A282" t="s">
        <v>842</v>
      </c>
      <c r="B282">
        <v>900000</v>
      </c>
      <c r="C282">
        <v>900000</v>
      </c>
      <c r="D282">
        <v>0</v>
      </c>
      <c r="E282">
        <v>900000</v>
      </c>
      <c r="F282">
        <v>0</v>
      </c>
      <c r="G282">
        <v>900000</v>
      </c>
      <c r="H282">
        <v>900000</v>
      </c>
      <c r="I282">
        <v>0</v>
      </c>
      <c r="J282">
        <v>900000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900000</v>
      </c>
      <c r="AG282">
        <v>900000</v>
      </c>
      <c r="AH282">
        <v>0</v>
      </c>
      <c r="AI282">
        <v>900000</v>
      </c>
      <c r="AJ282">
        <v>0</v>
      </c>
      <c r="AK282" t="s">
        <v>843</v>
      </c>
      <c r="AL282" t="s">
        <v>844</v>
      </c>
      <c r="AM282" t="s">
        <v>1447</v>
      </c>
      <c r="AN282">
        <v>0</v>
      </c>
      <c r="AO282">
        <v>900000</v>
      </c>
      <c r="AP282">
        <v>-900000</v>
      </c>
      <c r="AQ282">
        <v>0</v>
      </c>
      <c r="AR282">
        <v>0</v>
      </c>
      <c r="AS282">
        <v>900000</v>
      </c>
      <c r="AT282">
        <v>-900000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900000</v>
      </c>
      <c r="BN282">
        <v>-900000</v>
      </c>
      <c r="BO282">
        <v>0</v>
      </c>
      <c r="BP282" t="s">
        <v>843</v>
      </c>
    </row>
    <row r="283" spans="1:68" x14ac:dyDescent="0.35">
      <c r="A283" t="s">
        <v>845</v>
      </c>
      <c r="B283">
        <v>700000</v>
      </c>
      <c r="C283">
        <v>700000</v>
      </c>
      <c r="D283">
        <v>0</v>
      </c>
      <c r="E283">
        <v>700000</v>
      </c>
      <c r="F283">
        <v>0</v>
      </c>
      <c r="G283">
        <v>700000</v>
      </c>
      <c r="H283">
        <v>700000</v>
      </c>
      <c r="I283">
        <v>0</v>
      </c>
      <c r="J283">
        <v>700000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700000</v>
      </c>
      <c r="AG283">
        <v>700000</v>
      </c>
      <c r="AH283">
        <v>0</v>
      </c>
      <c r="AI283">
        <v>700000</v>
      </c>
      <c r="AJ283">
        <v>0</v>
      </c>
      <c r="AK283" t="s">
        <v>846</v>
      </c>
      <c r="AL283" t="s">
        <v>847</v>
      </c>
      <c r="AM283" t="s">
        <v>1448</v>
      </c>
      <c r="AN283">
        <v>0</v>
      </c>
      <c r="AO283">
        <v>700000</v>
      </c>
      <c r="AP283">
        <v>-700000</v>
      </c>
      <c r="AQ283">
        <v>0</v>
      </c>
      <c r="AR283">
        <v>0</v>
      </c>
      <c r="AS283">
        <v>700000</v>
      </c>
      <c r="AT283">
        <v>-700000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700000</v>
      </c>
      <c r="BN283">
        <v>-700000</v>
      </c>
      <c r="BO283">
        <v>0</v>
      </c>
      <c r="BP283" t="s">
        <v>846</v>
      </c>
    </row>
    <row r="284" spans="1:68" x14ac:dyDescent="0.35">
      <c r="A284" t="s">
        <v>848</v>
      </c>
      <c r="B284">
        <v>300000</v>
      </c>
      <c r="C284">
        <v>300000</v>
      </c>
      <c r="D284">
        <v>0</v>
      </c>
      <c r="E284">
        <v>300000</v>
      </c>
      <c r="F284">
        <v>0</v>
      </c>
      <c r="G284">
        <v>300000</v>
      </c>
      <c r="H284">
        <v>300000</v>
      </c>
      <c r="I284">
        <v>0</v>
      </c>
      <c r="J284">
        <v>300000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300000</v>
      </c>
      <c r="AG284">
        <v>300000</v>
      </c>
      <c r="AH284">
        <v>0</v>
      </c>
      <c r="AI284">
        <v>300000</v>
      </c>
      <c r="AJ284">
        <v>0</v>
      </c>
      <c r="AK284" t="s">
        <v>849</v>
      </c>
      <c r="AL284" t="s">
        <v>850</v>
      </c>
      <c r="AM284" t="s">
        <v>1449</v>
      </c>
      <c r="AN284">
        <v>0</v>
      </c>
      <c r="AO284">
        <v>300000</v>
      </c>
      <c r="AP284">
        <v>-300000</v>
      </c>
      <c r="AQ284">
        <v>0</v>
      </c>
      <c r="AR284">
        <v>0</v>
      </c>
      <c r="AS284">
        <v>300000</v>
      </c>
      <c r="AT284">
        <v>-300000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300000</v>
      </c>
      <c r="BN284">
        <v>-300000</v>
      </c>
      <c r="BO284">
        <v>0</v>
      </c>
      <c r="BP284" t="s">
        <v>849</v>
      </c>
    </row>
    <row r="285" spans="1:68" x14ac:dyDescent="0.35">
      <c r="A285" t="s">
        <v>851</v>
      </c>
      <c r="B285">
        <v>12400000</v>
      </c>
      <c r="C285">
        <v>12004224.1</v>
      </c>
      <c r="D285">
        <v>0</v>
      </c>
      <c r="E285">
        <v>12004224.1</v>
      </c>
      <c r="F285">
        <v>395775.9</v>
      </c>
      <c r="G285">
        <v>12400000</v>
      </c>
      <c r="H285">
        <v>11999071.68</v>
      </c>
      <c r="I285">
        <v>0</v>
      </c>
      <c r="J285">
        <v>11999071.68</v>
      </c>
      <c r="K285">
        <v>400928.32</v>
      </c>
      <c r="L285">
        <v>0</v>
      </c>
      <c r="M285">
        <v>5152.42</v>
      </c>
      <c r="N285">
        <v>0</v>
      </c>
      <c r="O285">
        <v>5152.42</v>
      </c>
      <c r="P285">
        <v>-5152.42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12400000</v>
      </c>
      <c r="AG285">
        <v>12004224.1</v>
      </c>
      <c r="AH285">
        <v>0</v>
      </c>
      <c r="AI285">
        <v>12004224.1</v>
      </c>
      <c r="AJ285">
        <v>395775.9</v>
      </c>
      <c r="AK285" t="s">
        <v>852</v>
      </c>
      <c r="AL285" t="s">
        <v>853</v>
      </c>
      <c r="AM285" t="s">
        <v>1450</v>
      </c>
      <c r="AN285">
        <v>0</v>
      </c>
      <c r="AO285">
        <v>12004224</v>
      </c>
      <c r="AP285">
        <v>-12004224</v>
      </c>
      <c r="AQ285">
        <v>0</v>
      </c>
      <c r="AR285">
        <v>0</v>
      </c>
      <c r="AS285">
        <v>11999072</v>
      </c>
      <c r="AT285">
        <v>-11999072</v>
      </c>
      <c r="AU285">
        <v>0</v>
      </c>
      <c r="AV285">
        <v>0</v>
      </c>
      <c r="AW285">
        <v>5152</v>
      </c>
      <c r="AX285">
        <v>-5152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12004224</v>
      </c>
      <c r="BN285">
        <v>-12004224</v>
      </c>
      <c r="BO285">
        <v>0</v>
      </c>
      <c r="BP285" t="s">
        <v>852</v>
      </c>
    </row>
    <row r="286" spans="1:68" x14ac:dyDescent="0.35">
      <c r="A286" t="s">
        <v>854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855</v>
      </c>
      <c r="AL286" t="s">
        <v>856</v>
      </c>
    </row>
    <row r="287" spans="1:68" x14ac:dyDescent="0.35">
      <c r="A287" t="s">
        <v>857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s">
        <v>858</v>
      </c>
      <c r="AL287" t="s">
        <v>859</v>
      </c>
    </row>
    <row r="288" spans="1:68" x14ac:dyDescent="0.35">
      <c r="A288" t="s">
        <v>860</v>
      </c>
      <c r="B288">
        <v>367292.82</v>
      </c>
      <c r="C288">
        <v>367292.82</v>
      </c>
      <c r="D288">
        <v>0</v>
      </c>
      <c r="E288">
        <v>367292.82</v>
      </c>
      <c r="F288">
        <v>0</v>
      </c>
      <c r="G288">
        <v>367292.82</v>
      </c>
      <c r="H288">
        <v>367292.82</v>
      </c>
      <c r="I288">
        <v>0</v>
      </c>
      <c r="J288">
        <v>367292.82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367292.82</v>
      </c>
      <c r="AG288">
        <v>367292.82</v>
      </c>
      <c r="AH288">
        <v>0</v>
      </c>
      <c r="AI288">
        <v>367292.82</v>
      </c>
      <c r="AJ288">
        <v>0</v>
      </c>
      <c r="AK288" t="s">
        <v>861</v>
      </c>
      <c r="AL288" t="s">
        <v>862</v>
      </c>
      <c r="AM288" t="s">
        <v>1451</v>
      </c>
      <c r="AN288">
        <v>0</v>
      </c>
      <c r="AO288">
        <v>367293</v>
      </c>
      <c r="AP288">
        <v>-367293</v>
      </c>
      <c r="AQ288">
        <v>0</v>
      </c>
      <c r="AR288">
        <v>0</v>
      </c>
      <c r="AS288">
        <v>367293</v>
      </c>
      <c r="AT288">
        <v>-367293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367293</v>
      </c>
      <c r="BN288">
        <v>-367293</v>
      </c>
      <c r="BO288">
        <v>0</v>
      </c>
      <c r="BP288" t="s">
        <v>861</v>
      </c>
    </row>
    <row r="289" spans="1:68" x14ac:dyDescent="0.35">
      <c r="A289" t="s">
        <v>863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s">
        <v>864</v>
      </c>
      <c r="AL289" t="s">
        <v>865</v>
      </c>
    </row>
    <row r="290" spans="1:68" x14ac:dyDescent="0.35">
      <c r="A290" t="s">
        <v>866</v>
      </c>
      <c r="B290">
        <v>3871000</v>
      </c>
      <c r="C290">
        <v>2577466.23</v>
      </c>
      <c r="D290">
        <v>0.03</v>
      </c>
      <c r="E290">
        <v>2577466.2599999998</v>
      </c>
      <c r="F290">
        <v>1293533.74</v>
      </c>
      <c r="G290">
        <v>3871000</v>
      </c>
      <c r="H290">
        <v>2577466.23</v>
      </c>
      <c r="I290">
        <v>0.03</v>
      </c>
      <c r="J290">
        <v>2577466.2599999998</v>
      </c>
      <c r="K290">
        <v>1293533.74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3871000</v>
      </c>
      <c r="AG290">
        <v>2577466.23</v>
      </c>
      <c r="AH290">
        <v>0.03</v>
      </c>
      <c r="AI290">
        <v>2577466.2599999998</v>
      </c>
      <c r="AJ290">
        <v>1293533.74</v>
      </c>
      <c r="AK290" t="s">
        <v>867</v>
      </c>
      <c r="AL290" t="s">
        <v>868</v>
      </c>
      <c r="AM290" t="s">
        <v>1452</v>
      </c>
      <c r="AN290">
        <v>0</v>
      </c>
      <c r="AO290">
        <v>2577466</v>
      </c>
      <c r="AP290">
        <v>-2577466</v>
      </c>
      <c r="AQ290">
        <v>0</v>
      </c>
      <c r="AR290">
        <v>0</v>
      </c>
      <c r="AS290">
        <v>2577466</v>
      </c>
      <c r="AT290">
        <v>-2577466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2577466</v>
      </c>
      <c r="BN290">
        <v>-2577466</v>
      </c>
      <c r="BO290">
        <v>0</v>
      </c>
      <c r="BP290" t="s">
        <v>867</v>
      </c>
    </row>
    <row r="291" spans="1:68" x14ac:dyDescent="0.35">
      <c r="A291" t="s">
        <v>869</v>
      </c>
      <c r="B291">
        <v>7200000</v>
      </c>
      <c r="C291">
        <v>0</v>
      </c>
      <c r="D291">
        <v>0</v>
      </c>
      <c r="E291">
        <v>0</v>
      </c>
      <c r="F291">
        <v>7200000</v>
      </c>
      <c r="G291">
        <v>7200000</v>
      </c>
      <c r="H291">
        <v>0</v>
      </c>
      <c r="I291">
        <v>0</v>
      </c>
      <c r="J291">
        <v>0</v>
      </c>
      <c r="K291">
        <v>7200000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7200000</v>
      </c>
      <c r="AG291">
        <v>0</v>
      </c>
      <c r="AH291">
        <v>0</v>
      </c>
      <c r="AI291">
        <v>0</v>
      </c>
      <c r="AJ291">
        <v>7200000</v>
      </c>
      <c r="AK291" t="s">
        <v>870</v>
      </c>
      <c r="AL291" t="s">
        <v>871</v>
      </c>
    </row>
    <row r="292" spans="1:68" x14ac:dyDescent="0.35">
      <c r="A292" t="s">
        <v>872</v>
      </c>
      <c r="B292">
        <v>4000000</v>
      </c>
      <c r="C292">
        <v>3006777.86</v>
      </c>
      <c r="D292">
        <v>93879.62</v>
      </c>
      <c r="E292">
        <v>3100657.48</v>
      </c>
      <c r="F292">
        <v>899342.52</v>
      </c>
      <c r="G292">
        <v>4000000</v>
      </c>
      <c r="H292">
        <v>3006777.86</v>
      </c>
      <c r="I292">
        <v>93879.62</v>
      </c>
      <c r="J292">
        <v>3100657.48</v>
      </c>
      <c r="K292">
        <v>899342.52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4000000</v>
      </c>
      <c r="AG292">
        <v>3006777.86</v>
      </c>
      <c r="AH292">
        <v>93879.62</v>
      </c>
      <c r="AI292">
        <v>3100657.48</v>
      </c>
      <c r="AJ292">
        <v>899342.52</v>
      </c>
      <c r="AK292" t="s">
        <v>873</v>
      </c>
      <c r="AL292" t="s">
        <v>874</v>
      </c>
      <c r="AM292" t="s">
        <v>1453</v>
      </c>
      <c r="AN292">
        <v>0</v>
      </c>
      <c r="AO292">
        <v>3006778</v>
      </c>
      <c r="AP292">
        <v>-3006778</v>
      </c>
      <c r="AQ292">
        <v>0</v>
      </c>
      <c r="AR292">
        <v>0</v>
      </c>
      <c r="AS292">
        <v>3006778</v>
      </c>
      <c r="AT292">
        <v>-3006778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3006778</v>
      </c>
      <c r="BN292">
        <v>-3006778</v>
      </c>
      <c r="BO292">
        <v>0</v>
      </c>
      <c r="BP292" t="s">
        <v>873</v>
      </c>
    </row>
    <row r="293" spans="1:68" x14ac:dyDescent="0.35">
      <c r="A293" t="s">
        <v>875</v>
      </c>
      <c r="B293">
        <v>7200000</v>
      </c>
      <c r="C293">
        <v>0</v>
      </c>
      <c r="D293">
        <v>0</v>
      </c>
      <c r="E293">
        <v>0</v>
      </c>
      <c r="F293">
        <v>7200000</v>
      </c>
      <c r="G293">
        <v>7200000</v>
      </c>
      <c r="H293">
        <v>0</v>
      </c>
      <c r="I293">
        <v>0</v>
      </c>
      <c r="J293">
        <v>0</v>
      </c>
      <c r="K293">
        <v>7200000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7200000</v>
      </c>
      <c r="AG293">
        <v>0</v>
      </c>
      <c r="AH293">
        <v>0</v>
      </c>
      <c r="AI293">
        <v>0</v>
      </c>
      <c r="AJ293">
        <v>7200000</v>
      </c>
      <c r="AK293" t="s">
        <v>876</v>
      </c>
      <c r="AL293" t="s">
        <v>877</v>
      </c>
    </row>
    <row r="294" spans="1:68" x14ac:dyDescent="0.35">
      <c r="A294" t="s">
        <v>878</v>
      </c>
      <c r="B294">
        <v>4000000</v>
      </c>
      <c r="C294">
        <v>256520.46</v>
      </c>
      <c r="D294">
        <v>1.97</v>
      </c>
      <c r="E294">
        <v>256522.43</v>
      </c>
      <c r="F294">
        <v>3743477.57</v>
      </c>
      <c r="G294">
        <v>4000000</v>
      </c>
      <c r="H294">
        <v>256520.46</v>
      </c>
      <c r="I294">
        <v>1.97</v>
      </c>
      <c r="J294">
        <v>256522.43</v>
      </c>
      <c r="K294">
        <v>3743477.57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4000000</v>
      </c>
      <c r="AG294">
        <v>256520.46</v>
      </c>
      <c r="AH294">
        <v>1.97</v>
      </c>
      <c r="AI294">
        <v>256522.43</v>
      </c>
      <c r="AJ294">
        <v>3743477.57</v>
      </c>
      <c r="AK294" t="s">
        <v>879</v>
      </c>
      <c r="AL294" t="s">
        <v>880</v>
      </c>
      <c r="AM294" t="s">
        <v>1454</v>
      </c>
      <c r="AN294">
        <v>0</v>
      </c>
      <c r="AO294">
        <v>256520</v>
      </c>
      <c r="AP294">
        <v>-256520</v>
      </c>
      <c r="AQ294">
        <v>0</v>
      </c>
      <c r="AR294">
        <v>0</v>
      </c>
      <c r="AS294">
        <v>256520</v>
      </c>
      <c r="AT294">
        <v>-256520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256520</v>
      </c>
      <c r="BN294">
        <v>-256520</v>
      </c>
      <c r="BO294">
        <v>0</v>
      </c>
      <c r="BP294" t="s">
        <v>879</v>
      </c>
    </row>
    <row r="295" spans="1:68" x14ac:dyDescent="0.35">
      <c r="A295" t="s">
        <v>881</v>
      </c>
      <c r="B295">
        <v>1600000</v>
      </c>
      <c r="C295">
        <v>1076352.05</v>
      </c>
      <c r="D295">
        <v>0</v>
      </c>
      <c r="E295">
        <v>1076352.05</v>
      </c>
      <c r="F295">
        <v>523647.95</v>
      </c>
      <c r="G295">
        <v>1600000</v>
      </c>
      <c r="H295">
        <v>1076352.05</v>
      </c>
      <c r="I295">
        <v>0</v>
      </c>
      <c r="J295">
        <v>1076352.05</v>
      </c>
      <c r="K295">
        <v>523647.95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1600000</v>
      </c>
      <c r="AG295">
        <v>1076352.05</v>
      </c>
      <c r="AH295">
        <v>0</v>
      </c>
      <c r="AI295">
        <v>1076352.05</v>
      </c>
      <c r="AJ295">
        <v>523647.95</v>
      </c>
      <c r="AK295" t="s">
        <v>882</v>
      </c>
      <c r="AL295" t="s">
        <v>883</v>
      </c>
      <c r="AM295" t="s">
        <v>1455</v>
      </c>
      <c r="AN295">
        <v>0</v>
      </c>
      <c r="AO295">
        <v>1076352</v>
      </c>
      <c r="AP295">
        <v>-1076352</v>
      </c>
      <c r="AQ295">
        <v>0</v>
      </c>
      <c r="AR295">
        <v>0</v>
      </c>
      <c r="AS295">
        <v>1076352</v>
      </c>
      <c r="AT295">
        <v>-1076352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1076352</v>
      </c>
      <c r="BN295">
        <v>-1076352</v>
      </c>
      <c r="BO295">
        <v>0</v>
      </c>
      <c r="BP295" t="s">
        <v>882</v>
      </c>
    </row>
    <row r="296" spans="1:68" x14ac:dyDescent="0.35">
      <c r="A296" t="s">
        <v>884</v>
      </c>
      <c r="B296">
        <v>19608000</v>
      </c>
      <c r="C296">
        <v>15419856.9</v>
      </c>
      <c r="D296">
        <v>0.03</v>
      </c>
      <c r="E296">
        <v>15419856.93</v>
      </c>
      <c r="F296">
        <v>4188143.07</v>
      </c>
      <c r="G296">
        <v>19608000</v>
      </c>
      <c r="H296">
        <v>15419856.9</v>
      </c>
      <c r="I296">
        <v>0.03</v>
      </c>
      <c r="J296">
        <v>15419856.93</v>
      </c>
      <c r="K296">
        <v>4188143.07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19608000</v>
      </c>
      <c r="AG296">
        <v>15419856.9</v>
      </c>
      <c r="AH296">
        <v>0.03</v>
      </c>
      <c r="AI296">
        <v>15419856.93</v>
      </c>
      <c r="AJ296">
        <v>4188143.07</v>
      </c>
      <c r="AK296" t="s">
        <v>885</v>
      </c>
      <c r="AL296" t="s">
        <v>886</v>
      </c>
      <c r="AM296" t="s">
        <v>1456</v>
      </c>
      <c r="AN296">
        <v>0</v>
      </c>
      <c r="AO296">
        <v>15419857</v>
      </c>
      <c r="AP296">
        <v>-15419857</v>
      </c>
      <c r="AQ296">
        <v>0</v>
      </c>
      <c r="AR296">
        <v>0</v>
      </c>
      <c r="AS296">
        <v>15419857</v>
      </c>
      <c r="AT296">
        <v>-15419857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15419857</v>
      </c>
      <c r="BN296">
        <v>-15419857</v>
      </c>
      <c r="BO296">
        <v>0</v>
      </c>
      <c r="BP296" t="s">
        <v>885</v>
      </c>
    </row>
    <row r="297" spans="1:68" x14ac:dyDescent="0.35">
      <c r="A297" t="s">
        <v>887</v>
      </c>
      <c r="B297">
        <v>687850</v>
      </c>
      <c r="C297">
        <v>644575</v>
      </c>
      <c r="D297">
        <v>0</v>
      </c>
      <c r="E297">
        <v>644575</v>
      </c>
      <c r="F297">
        <v>43275</v>
      </c>
      <c r="G297">
        <v>67850</v>
      </c>
      <c r="H297">
        <v>67850</v>
      </c>
      <c r="I297">
        <v>0</v>
      </c>
      <c r="J297">
        <v>67850</v>
      </c>
      <c r="K297">
        <v>0</v>
      </c>
      <c r="L297">
        <v>620000</v>
      </c>
      <c r="M297">
        <v>576725</v>
      </c>
      <c r="N297">
        <v>0</v>
      </c>
      <c r="O297">
        <v>576725</v>
      </c>
      <c r="P297">
        <v>43275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687850</v>
      </c>
      <c r="AG297">
        <v>644575</v>
      </c>
      <c r="AH297">
        <v>0</v>
      </c>
      <c r="AI297">
        <v>644575</v>
      </c>
      <c r="AJ297">
        <v>43275</v>
      </c>
      <c r="AK297" t="s">
        <v>888</v>
      </c>
      <c r="AL297" t="s">
        <v>889</v>
      </c>
      <c r="AM297" t="s">
        <v>1457</v>
      </c>
      <c r="AN297">
        <v>0</v>
      </c>
      <c r="AO297">
        <v>644575</v>
      </c>
      <c r="AP297">
        <v>-644575</v>
      </c>
      <c r="AQ297">
        <v>0</v>
      </c>
      <c r="AR297">
        <v>0</v>
      </c>
      <c r="AS297">
        <v>67850</v>
      </c>
      <c r="AT297">
        <v>-67850</v>
      </c>
      <c r="AU297">
        <v>0</v>
      </c>
      <c r="AV297">
        <v>0</v>
      </c>
      <c r="AW297">
        <v>576725</v>
      </c>
      <c r="AX297">
        <v>-576725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644575</v>
      </c>
      <c r="BN297">
        <v>-644575</v>
      </c>
      <c r="BO297">
        <v>0</v>
      </c>
      <c r="BP297" t="s">
        <v>888</v>
      </c>
    </row>
    <row r="298" spans="1:68" x14ac:dyDescent="0.35">
      <c r="A298" t="s">
        <v>890</v>
      </c>
      <c r="B298">
        <v>19104575</v>
      </c>
      <c r="C298">
        <v>19045750</v>
      </c>
      <c r="D298">
        <v>0</v>
      </c>
      <c r="E298">
        <v>19045750</v>
      </c>
      <c r="F298">
        <v>58825</v>
      </c>
      <c r="G298">
        <v>1904575</v>
      </c>
      <c r="H298">
        <v>1904575</v>
      </c>
      <c r="I298">
        <v>0</v>
      </c>
      <c r="J298">
        <v>1904575</v>
      </c>
      <c r="K298">
        <v>0</v>
      </c>
      <c r="L298">
        <v>17200000</v>
      </c>
      <c r="M298">
        <v>17141175</v>
      </c>
      <c r="N298">
        <v>0</v>
      </c>
      <c r="O298">
        <v>17141175</v>
      </c>
      <c r="P298">
        <v>58825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19104575</v>
      </c>
      <c r="AG298">
        <v>19045750</v>
      </c>
      <c r="AH298">
        <v>0</v>
      </c>
      <c r="AI298">
        <v>19045750</v>
      </c>
      <c r="AJ298">
        <v>58825</v>
      </c>
      <c r="AK298" t="s">
        <v>891</v>
      </c>
      <c r="AL298" t="s">
        <v>892</v>
      </c>
      <c r="AM298" t="s">
        <v>1458</v>
      </c>
      <c r="AN298">
        <v>0</v>
      </c>
      <c r="AO298">
        <v>19045750</v>
      </c>
      <c r="AP298">
        <v>-19045750</v>
      </c>
      <c r="AQ298">
        <v>0</v>
      </c>
      <c r="AR298">
        <v>0</v>
      </c>
      <c r="AS298">
        <v>1904575</v>
      </c>
      <c r="AT298">
        <v>-1904575</v>
      </c>
      <c r="AU298">
        <v>0</v>
      </c>
      <c r="AV298">
        <v>0</v>
      </c>
      <c r="AW298">
        <v>17141175</v>
      </c>
      <c r="AX298">
        <v>-17141175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19045750</v>
      </c>
      <c r="BN298">
        <v>-19045750</v>
      </c>
      <c r="BO298">
        <v>0</v>
      </c>
      <c r="BP298" t="s">
        <v>891</v>
      </c>
    </row>
    <row r="299" spans="1:68" x14ac:dyDescent="0.35">
      <c r="A299" t="s">
        <v>893</v>
      </c>
      <c r="B299">
        <v>15400000</v>
      </c>
      <c r="C299">
        <v>0</v>
      </c>
      <c r="D299">
        <v>0</v>
      </c>
      <c r="E299">
        <v>0</v>
      </c>
      <c r="F299">
        <v>15400000</v>
      </c>
      <c r="G299">
        <v>15400000</v>
      </c>
      <c r="H299">
        <v>0</v>
      </c>
      <c r="I299">
        <v>0</v>
      </c>
      <c r="J299">
        <v>0</v>
      </c>
      <c r="K299">
        <v>15400000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15400000</v>
      </c>
      <c r="AG299">
        <v>0</v>
      </c>
      <c r="AH299">
        <v>0</v>
      </c>
      <c r="AI299">
        <v>0</v>
      </c>
      <c r="AJ299">
        <v>15400000</v>
      </c>
      <c r="AK299" t="s">
        <v>894</v>
      </c>
      <c r="AL299" t="s">
        <v>895</v>
      </c>
    </row>
    <row r="300" spans="1:68" x14ac:dyDescent="0.35">
      <c r="A300" t="s">
        <v>896</v>
      </c>
      <c r="B300">
        <v>7000000</v>
      </c>
      <c r="C300">
        <v>0</v>
      </c>
      <c r="D300">
        <v>0</v>
      </c>
      <c r="E300">
        <v>0</v>
      </c>
      <c r="F300">
        <v>7000000</v>
      </c>
      <c r="G300">
        <v>7000000</v>
      </c>
      <c r="H300">
        <v>0</v>
      </c>
      <c r="I300">
        <v>0</v>
      </c>
      <c r="J300">
        <v>0</v>
      </c>
      <c r="K300">
        <v>7000000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7000000</v>
      </c>
      <c r="AG300">
        <v>0</v>
      </c>
      <c r="AH300">
        <v>0</v>
      </c>
      <c r="AI300">
        <v>0</v>
      </c>
      <c r="AJ300">
        <v>7000000</v>
      </c>
      <c r="AK300" t="s">
        <v>897</v>
      </c>
      <c r="AL300" t="s">
        <v>898</v>
      </c>
    </row>
    <row r="301" spans="1:68" x14ac:dyDescent="0.35">
      <c r="A301" t="s">
        <v>899</v>
      </c>
      <c r="B301">
        <v>7000844</v>
      </c>
      <c r="C301">
        <v>4085532</v>
      </c>
      <c r="D301">
        <v>0</v>
      </c>
      <c r="E301">
        <v>4085532</v>
      </c>
      <c r="F301">
        <v>2915312</v>
      </c>
      <c r="G301">
        <v>1361844</v>
      </c>
      <c r="H301">
        <v>1361844</v>
      </c>
      <c r="I301">
        <v>0</v>
      </c>
      <c r="J301">
        <v>1361844</v>
      </c>
      <c r="K301">
        <v>0</v>
      </c>
      <c r="L301">
        <v>5639000</v>
      </c>
      <c r="M301">
        <v>2723688</v>
      </c>
      <c r="N301">
        <v>0</v>
      </c>
      <c r="O301">
        <v>2723688</v>
      </c>
      <c r="P301">
        <v>2915312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7000844</v>
      </c>
      <c r="AG301">
        <v>4085532</v>
      </c>
      <c r="AH301">
        <v>0</v>
      </c>
      <c r="AI301">
        <v>4085532</v>
      </c>
      <c r="AJ301">
        <v>2915312</v>
      </c>
      <c r="AK301" t="s">
        <v>900</v>
      </c>
      <c r="AL301" t="s">
        <v>901</v>
      </c>
      <c r="AM301" t="s">
        <v>1459</v>
      </c>
      <c r="AN301">
        <v>0</v>
      </c>
      <c r="AO301">
        <v>4085532</v>
      </c>
      <c r="AP301">
        <v>-4085532</v>
      </c>
      <c r="AQ301">
        <v>0</v>
      </c>
      <c r="AR301">
        <v>0</v>
      </c>
      <c r="AS301">
        <v>1361844</v>
      </c>
      <c r="AT301">
        <v>-1361844</v>
      </c>
      <c r="AU301">
        <v>0</v>
      </c>
      <c r="AV301">
        <v>0</v>
      </c>
      <c r="AW301">
        <v>2723688</v>
      </c>
      <c r="AX301">
        <v>-2723688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4085532</v>
      </c>
      <c r="BN301">
        <v>-4085532</v>
      </c>
      <c r="BO301">
        <v>0</v>
      </c>
      <c r="BP301" t="s">
        <v>900</v>
      </c>
    </row>
    <row r="302" spans="1:68" x14ac:dyDescent="0.35">
      <c r="A302" t="s">
        <v>902</v>
      </c>
      <c r="B302">
        <v>42293204.939999998</v>
      </c>
      <c r="C302">
        <v>39213234.149999999</v>
      </c>
      <c r="D302">
        <v>14.29</v>
      </c>
      <c r="E302">
        <v>39213248.439999998</v>
      </c>
      <c r="F302">
        <v>3079956.5</v>
      </c>
      <c r="G302">
        <v>30852204.940000001</v>
      </c>
      <c r="H302">
        <v>30852204.940000001</v>
      </c>
      <c r="I302">
        <v>0</v>
      </c>
      <c r="J302">
        <v>30852204.940000001</v>
      </c>
      <c r="K302">
        <v>0</v>
      </c>
      <c r="L302">
        <v>11441000</v>
      </c>
      <c r="M302">
        <v>8361029.21</v>
      </c>
      <c r="N302">
        <v>14.29</v>
      </c>
      <c r="O302">
        <v>8361043.5</v>
      </c>
      <c r="P302">
        <v>3079956.5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42293204.939999998</v>
      </c>
      <c r="AG302">
        <v>39213234.149999999</v>
      </c>
      <c r="AH302">
        <v>14.29</v>
      </c>
      <c r="AI302">
        <v>39213248.439999998</v>
      </c>
      <c r="AJ302">
        <v>3079956.5</v>
      </c>
      <c r="AK302" t="s">
        <v>903</v>
      </c>
      <c r="AL302" t="s">
        <v>904</v>
      </c>
      <c r="AM302" t="s">
        <v>1460</v>
      </c>
      <c r="AN302">
        <v>0</v>
      </c>
      <c r="AO302">
        <v>39213234</v>
      </c>
      <c r="AP302">
        <v>-39213234</v>
      </c>
      <c r="AQ302">
        <v>0</v>
      </c>
      <c r="AR302">
        <v>0</v>
      </c>
      <c r="AS302">
        <v>30852205</v>
      </c>
      <c r="AT302">
        <v>-30852205</v>
      </c>
      <c r="AU302">
        <v>0</v>
      </c>
      <c r="AV302">
        <v>0</v>
      </c>
      <c r="AW302">
        <v>8361029</v>
      </c>
      <c r="AX302">
        <v>-8361029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39213234</v>
      </c>
      <c r="BN302">
        <v>-39213234</v>
      </c>
      <c r="BO302">
        <v>0</v>
      </c>
      <c r="BP302" t="s">
        <v>903</v>
      </c>
    </row>
    <row r="303" spans="1:68" x14ac:dyDescent="0.35">
      <c r="A303" t="s">
        <v>905</v>
      </c>
      <c r="B303">
        <v>7000000</v>
      </c>
      <c r="C303">
        <v>4072628</v>
      </c>
      <c r="D303">
        <v>0</v>
      </c>
      <c r="E303">
        <v>4072628</v>
      </c>
      <c r="F303">
        <v>2927372</v>
      </c>
      <c r="G303">
        <v>7000000</v>
      </c>
      <c r="H303">
        <v>4072628</v>
      </c>
      <c r="I303">
        <v>0</v>
      </c>
      <c r="J303">
        <v>4072628</v>
      </c>
      <c r="K303">
        <v>2927372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7000000</v>
      </c>
      <c r="AG303">
        <v>4072628</v>
      </c>
      <c r="AH303">
        <v>0</v>
      </c>
      <c r="AI303">
        <v>4072628</v>
      </c>
      <c r="AJ303">
        <v>2927372</v>
      </c>
      <c r="AK303" t="s">
        <v>906</v>
      </c>
      <c r="AL303" t="s">
        <v>907</v>
      </c>
      <c r="AM303" t="s">
        <v>1461</v>
      </c>
      <c r="AN303">
        <v>0</v>
      </c>
      <c r="AO303">
        <v>4072628</v>
      </c>
      <c r="AP303">
        <v>-4072628</v>
      </c>
      <c r="AQ303">
        <v>0</v>
      </c>
      <c r="AR303">
        <v>0</v>
      </c>
      <c r="AS303">
        <v>4072628</v>
      </c>
      <c r="AT303">
        <v>-4072628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4072628</v>
      </c>
      <c r="BN303">
        <v>-4072628</v>
      </c>
      <c r="BO303">
        <v>0</v>
      </c>
      <c r="BP303" t="s">
        <v>906</v>
      </c>
    </row>
    <row r="304" spans="1:68" x14ac:dyDescent="0.35">
      <c r="A304" t="s">
        <v>908</v>
      </c>
      <c r="B304">
        <v>1800000</v>
      </c>
      <c r="C304">
        <v>1332047.4099999999</v>
      </c>
      <c r="D304">
        <v>0.02</v>
      </c>
      <c r="E304">
        <v>1332047.43</v>
      </c>
      <c r="F304">
        <v>467952.57</v>
      </c>
      <c r="G304">
        <v>1800000</v>
      </c>
      <c r="H304">
        <v>1332047.4099999999</v>
      </c>
      <c r="I304">
        <v>0.02</v>
      </c>
      <c r="J304">
        <v>1332047.43</v>
      </c>
      <c r="K304">
        <v>467952.57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1800000</v>
      </c>
      <c r="AG304">
        <v>1332047.4099999999</v>
      </c>
      <c r="AH304">
        <v>0.02</v>
      </c>
      <c r="AI304">
        <v>1332047.43</v>
      </c>
      <c r="AJ304">
        <v>467952.57</v>
      </c>
      <c r="AK304" t="s">
        <v>909</v>
      </c>
      <c r="AL304" t="s">
        <v>910</v>
      </c>
      <c r="AM304" t="s">
        <v>1462</v>
      </c>
      <c r="AN304">
        <v>0</v>
      </c>
      <c r="AO304">
        <v>1332047</v>
      </c>
      <c r="AP304">
        <v>-1332047</v>
      </c>
      <c r="AQ304">
        <v>0</v>
      </c>
      <c r="AR304">
        <v>0</v>
      </c>
      <c r="AS304">
        <v>1332047</v>
      </c>
      <c r="AT304">
        <v>-1332047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1332047</v>
      </c>
      <c r="BN304">
        <v>-1332047</v>
      </c>
      <c r="BO304">
        <v>0</v>
      </c>
      <c r="BP304" t="s">
        <v>909</v>
      </c>
    </row>
    <row r="305" spans="1:68" x14ac:dyDescent="0.35">
      <c r="A305" t="s">
        <v>911</v>
      </c>
      <c r="B305">
        <v>2500000</v>
      </c>
      <c r="C305">
        <v>243851.51999999999</v>
      </c>
      <c r="D305">
        <v>0</v>
      </c>
      <c r="E305">
        <v>243851.51999999999</v>
      </c>
      <c r="F305">
        <v>2256148.48</v>
      </c>
      <c r="G305">
        <v>2500000</v>
      </c>
      <c r="H305">
        <v>243851.51999999999</v>
      </c>
      <c r="I305">
        <v>0</v>
      </c>
      <c r="J305">
        <v>243851.51999999999</v>
      </c>
      <c r="K305">
        <v>2256148.48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2500000</v>
      </c>
      <c r="AG305">
        <v>243851.51999999999</v>
      </c>
      <c r="AH305">
        <v>0</v>
      </c>
      <c r="AI305">
        <v>243851.51999999999</v>
      </c>
      <c r="AJ305">
        <v>2256148.48</v>
      </c>
      <c r="AK305" t="s">
        <v>912</v>
      </c>
      <c r="AL305" t="s">
        <v>913</v>
      </c>
      <c r="AM305" t="s">
        <v>1463</v>
      </c>
      <c r="AN305">
        <v>0</v>
      </c>
      <c r="AO305">
        <v>243852</v>
      </c>
      <c r="AP305">
        <v>-243852</v>
      </c>
      <c r="AQ305">
        <v>0</v>
      </c>
      <c r="AR305">
        <v>0</v>
      </c>
      <c r="AS305">
        <v>243852</v>
      </c>
      <c r="AT305">
        <v>-243852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243852</v>
      </c>
      <c r="BN305">
        <v>-243852</v>
      </c>
      <c r="BO305">
        <v>0</v>
      </c>
      <c r="BP305" t="s">
        <v>912</v>
      </c>
    </row>
    <row r="306" spans="1:68" x14ac:dyDescent="0.35">
      <c r="A306" t="s">
        <v>914</v>
      </c>
      <c r="B306">
        <v>550000</v>
      </c>
      <c r="C306">
        <v>0</v>
      </c>
      <c r="D306">
        <v>0</v>
      </c>
      <c r="E306">
        <v>0</v>
      </c>
      <c r="F306">
        <v>550000</v>
      </c>
      <c r="G306">
        <v>550000</v>
      </c>
      <c r="H306">
        <v>0</v>
      </c>
      <c r="I306">
        <v>0</v>
      </c>
      <c r="J306">
        <v>0</v>
      </c>
      <c r="K306">
        <v>550000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550000</v>
      </c>
      <c r="AG306">
        <v>0</v>
      </c>
      <c r="AH306">
        <v>0</v>
      </c>
      <c r="AI306">
        <v>0</v>
      </c>
      <c r="AJ306">
        <v>550000</v>
      </c>
      <c r="AK306" t="s">
        <v>915</v>
      </c>
      <c r="AL306" t="s">
        <v>916</v>
      </c>
    </row>
    <row r="307" spans="1:68" x14ac:dyDescent="0.35">
      <c r="A307" t="s">
        <v>917</v>
      </c>
      <c r="B307">
        <v>10000000</v>
      </c>
      <c r="C307">
        <v>0</v>
      </c>
      <c r="D307">
        <v>0</v>
      </c>
      <c r="E307">
        <v>0</v>
      </c>
      <c r="F307">
        <v>10000000</v>
      </c>
      <c r="G307">
        <v>10000000</v>
      </c>
      <c r="H307">
        <v>0</v>
      </c>
      <c r="I307">
        <v>0</v>
      </c>
      <c r="J307">
        <v>0</v>
      </c>
      <c r="K307">
        <v>10000000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10000000</v>
      </c>
      <c r="AG307">
        <v>0</v>
      </c>
      <c r="AH307">
        <v>0</v>
      </c>
      <c r="AI307">
        <v>0</v>
      </c>
      <c r="AJ307">
        <v>10000000</v>
      </c>
      <c r="AK307" t="s">
        <v>918</v>
      </c>
      <c r="AL307" t="s">
        <v>919</v>
      </c>
    </row>
    <row r="308" spans="1:68" x14ac:dyDescent="0.35">
      <c r="A308" t="s">
        <v>920</v>
      </c>
      <c r="B308">
        <v>5000000</v>
      </c>
      <c r="C308">
        <v>0</v>
      </c>
      <c r="D308">
        <v>0</v>
      </c>
      <c r="E308">
        <v>0</v>
      </c>
      <c r="F308">
        <v>5000000</v>
      </c>
      <c r="G308">
        <v>5000000</v>
      </c>
      <c r="H308">
        <v>0</v>
      </c>
      <c r="I308">
        <v>0</v>
      </c>
      <c r="J308">
        <v>0</v>
      </c>
      <c r="K308">
        <v>5000000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5000000</v>
      </c>
      <c r="AG308">
        <v>0</v>
      </c>
      <c r="AH308">
        <v>0</v>
      </c>
      <c r="AI308">
        <v>0</v>
      </c>
      <c r="AJ308">
        <v>5000000</v>
      </c>
      <c r="AK308" t="s">
        <v>921</v>
      </c>
      <c r="AL308" t="s">
        <v>922</v>
      </c>
    </row>
    <row r="309" spans="1:68" x14ac:dyDescent="0.35">
      <c r="A309" t="s">
        <v>923</v>
      </c>
      <c r="B309">
        <v>10000000</v>
      </c>
      <c r="C309">
        <v>0</v>
      </c>
      <c r="D309">
        <v>0</v>
      </c>
      <c r="E309">
        <v>0</v>
      </c>
      <c r="F309">
        <v>10000000</v>
      </c>
      <c r="G309">
        <v>10000000</v>
      </c>
      <c r="H309">
        <v>0</v>
      </c>
      <c r="I309">
        <v>0</v>
      </c>
      <c r="J309">
        <v>0</v>
      </c>
      <c r="K309">
        <v>10000000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10000000</v>
      </c>
      <c r="AG309">
        <v>0</v>
      </c>
      <c r="AH309">
        <v>0</v>
      </c>
      <c r="AI309">
        <v>0</v>
      </c>
      <c r="AJ309">
        <v>10000000</v>
      </c>
      <c r="AK309" t="s">
        <v>924</v>
      </c>
      <c r="AL309" t="s">
        <v>925</v>
      </c>
    </row>
    <row r="310" spans="1:68" x14ac:dyDescent="0.35">
      <c r="A310" t="s">
        <v>926</v>
      </c>
      <c r="B310">
        <v>10000000</v>
      </c>
      <c r="C310">
        <v>7994461.9699999997</v>
      </c>
      <c r="D310">
        <v>0</v>
      </c>
      <c r="E310">
        <v>7994461.9699999997</v>
      </c>
      <c r="F310">
        <v>2005538.03</v>
      </c>
      <c r="G310">
        <v>10000000</v>
      </c>
      <c r="H310">
        <v>7994461.9699999997</v>
      </c>
      <c r="I310">
        <v>0</v>
      </c>
      <c r="J310">
        <v>7994461.9699999997</v>
      </c>
      <c r="K310">
        <v>2005538.03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10000000</v>
      </c>
      <c r="AG310">
        <v>7994461.9699999997</v>
      </c>
      <c r="AH310">
        <v>0</v>
      </c>
      <c r="AI310">
        <v>7994461.9699999997</v>
      </c>
      <c r="AJ310">
        <v>2005538.03</v>
      </c>
      <c r="AK310" t="s">
        <v>927</v>
      </c>
      <c r="AL310" t="s">
        <v>928</v>
      </c>
      <c r="AM310" t="s">
        <v>1464</v>
      </c>
      <c r="AN310">
        <v>0</v>
      </c>
      <c r="AO310">
        <v>7994462</v>
      </c>
      <c r="AP310">
        <v>-7994462</v>
      </c>
      <c r="AQ310">
        <v>0</v>
      </c>
      <c r="AR310">
        <v>0</v>
      </c>
      <c r="AS310">
        <v>7994462</v>
      </c>
      <c r="AT310">
        <v>-7994462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7994462</v>
      </c>
      <c r="BN310">
        <v>-7994462</v>
      </c>
      <c r="BO310">
        <v>0</v>
      </c>
      <c r="BP310" t="s">
        <v>927</v>
      </c>
    </row>
    <row r="311" spans="1:68" x14ac:dyDescent="0.35">
      <c r="A311" t="s">
        <v>929</v>
      </c>
      <c r="B311">
        <v>23800000</v>
      </c>
      <c r="C311">
        <v>22397284.620000001</v>
      </c>
      <c r="D311">
        <v>0</v>
      </c>
      <c r="E311">
        <v>22397284.620000001</v>
      </c>
      <c r="F311">
        <v>1402715.38</v>
      </c>
      <c r="G311">
        <v>23800000</v>
      </c>
      <c r="H311">
        <v>22397284.620000001</v>
      </c>
      <c r="I311">
        <v>0</v>
      </c>
      <c r="J311">
        <v>22397284.620000001</v>
      </c>
      <c r="K311">
        <v>1402715.38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23800000</v>
      </c>
      <c r="AG311">
        <v>22397284.620000001</v>
      </c>
      <c r="AH311">
        <v>0</v>
      </c>
      <c r="AI311">
        <v>22397284.620000001</v>
      </c>
      <c r="AJ311">
        <v>1402715.38</v>
      </c>
      <c r="AK311" t="s">
        <v>930</v>
      </c>
      <c r="AL311" t="s">
        <v>931</v>
      </c>
      <c r="AM311" t="s">
        <v>1465</v>
      </c>
      <c r="AN311">
        <v>0</v>
      </c>
      <c r="AO311">
        <v>22397285</v>
      </c>
      <c r="AP311">
        <v>-22397285</v>
      </c>
      <c r="AQ311">
        <v>0</v>
      </c>
      <c r="AR311">
        <v>0</v>
      </c>
      <c r="AS311">
        <v>22397285</v>
      </c>
      <c r="AT311">
        <v>-22397285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22397285</v>
      </c>
      <c r="BN311">
        <v>-22397285</v>
      </c>
      <c r="BO311">
        <v>0</v>
      </c>
      <c r="BP311" t="s">
        <v>930</v>
      </c>
    </row>
    <row r="312" spans="1:68" x14ac:dyDescent="0.35">
      <c r="A312" t="s">
        <v>932</v>
      </c>
      <c r="B312">
        <v>5721000</v>
      </c>
      <c r="C312">
        <v>5592720.1299999999</v>
      </c>
      <c r="D312">
        <v>127279.83</v>
      </c>
      <c r="E312">
        <v>5719999.96</v>
      </c>
      <c r="F312">
        <v>1000.04</v>
      </c>
      <c r="G312">
        <v>5721000</v>
      </c>
      <c r="H312">
        <v>5592720.1299999999</v>
      </c>
      <c r="I312">
        <v>127279.83</v>
      </c>
      <c r="J312">
        <v>5719999.96</v>
      </c>
      <c r="K312">
        <v>1000.04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5721000</v>
      </c>
      <c r="AG312">
        <v>5592720.1299999999</v>
      </c>
      <c r="AH312">
        <v>127279.83</v>
      </c>
      <c r="AI312">
        <v>5719999.96</v>
      </c>
      <c r="AJ312">
        <v>1000.04</v>
      </c>
      <c r="AK312" t="s">
        <v>933</v>
      </c>
      <c r="AL312" t="s">
        <v>934</v>
      </c>
      <c r="AM312" t="s">
        <v>1466</v>
      </c>
      <c r="AN312">
        <v>0</v>
      </c>
      <c r="AO312">
        <v>5592720</v>
      </c>
      <c r="AP312">
        <v>-5592720</v>
      </c>
      <c r="AQ312">
        <v>0</v>
      </c>
      <c r="AR312">
        <v>0</v>
      </c>
      <c r="AS312">
        <v>5592720</v>
      </c>
      <c r="AT312">
        <v>-5592720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5592720</v>
      </c>
      <c r="BN312">
        <v>-5592720</v>
      </c>
      <c r="BO312">
        <v>0</v>
      </c>
      <c r="BP312" t="s">
        <v>933</v>
      </c>
    </row>
    <row r="313" spans="1:68" x14ac:dyDescent="0.35">
      <c r="A313" t="s">
        <v>935</v>
      </c>
      <c r="B313">
        <v>5000000</v>
      </c>
      <c r="C313">
        <v>0</v>
      </c>
      <c r="D313">
        <v>0</v>
      </c>
      <c r="E313">
        <v>0</v>
      </c>
      <c r="F313">
        <v>5000000</v>
      </c>
      <c r="G313">
        <v>5000000</v>
      </c>
      <c r="H313">
        <v>0</v>
      </c>
      <c r="I313">
        <v>0</v>
      </c>
      <c r="J313">
        <v>0</v>
      </c>
      <c r="K313">
        <v>5000000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5000000</v>
      </c>
      <c r="AG313">
        <v>0</v>
      </c>
      <c r="AH313">
        <v>0</v>
      </c>
      <c r="AI313">
        <v>0</v>
      </c>
      <c r="AJ313">
        <v>5000000</v>
      </c>
      <c r="AK313" t="s">
        <v>936</v>
      </c>
      <c r="AL313" t="s">
        <v>937</v>
      </c>
    </row>
    <row r="314" spans="1:68" x14ac:dyDescent="0.35">
      <c r="A314" t="s">
        <v>938</v>
      </c>
      <c r="B314">
        <v>2000000</v>
      </c>
      <c r="C314">
        <v>0</v>
      </c>
      <c r="D314">
        <v>0</v>
      </c>
      <c r="E314">
        <v>0</v>
      </c>
      <c r="F314">
        <v>2000000</v>
      </c>
      <c r="G314">
        <v>2000000</v>
      </c>
      <c r="H314">
        <v>0</v>
      </c>
      <c r="I314">
        <v>0</v>
      </c>
      <c r="J314">
        <v>0</v>
      </c>
      <c r="K314">
        <v>2000000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2000000</v>
      </c>
      <c r="AG314">
        <v>0</v>
      </c>
      <c r="AH314">
        <v>0</v>
      </c>
      <c r="AI314">
        <v>0</v>
      </c>
      <c r="AJ314">
        <v>2000000</v>
      </c>
      <c r="AK314" t="s">
        <v>939</v>
      </c>
      <c r="AL314" t="s">
        <v>940</v>
      </c>
    </row>
    <row r="315" spans="1:68" x14ac:dyDescent="0.35">
      <c r="A315" t="s">
        <v>941</v>
      </c>
      <c r="B315">
        <v>1185101</v>
      </c>
      <c r="C315">
        <v>386077.96</v>
      </c>
      <c r="D315">
        <v>0</v>
      </c>
      <c r="E315">
        <v>386077.96</v>
      </c>
      <c r="F315">
        <v>799023.04</v>
      </c>
      <c r="G315">
        <v>85101</v>
      </c>
      <c r="H315">
        <v>85101</v>
      </c>
      <c r="I315">
        <v>0</v>
      </c>
      <c r="J315">
        <v>85101</v>
      </c>
      <c r="K315">
        <v>0</v>
      </c>
      <c r="L315">
        <v>1100000</v>
      </c>
      <c r="M315">
        <v>300976.96000000002</v>
      </c>
      <c r="N315">
        <v>0</v>
      </c>
      <c r="O315">
        <v>300976.96000000002</v>
      </c>
      <c r="P315">
        <v>799023.04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1185101</v>
      </c>
      <c r="AG315">
        <v>386077.96</v>
      </c>
      <c r="AH315">
        <v>0</v>
      </c>
      <c r="AI315">
        <v>386077.96</v>
      </c>
      <c r="AJ315">
        <v>799023.04</v>
      </c>
      <c r="AK315" t="s">
        <v>942</v>
      </c>
      <c r="AL315" t="s">
        <v>943</v>
      </c>
      <c r="AM315" t="s">
        <v>1467</v>
      </c>
      <c r="AN315">
        <v>0</v>
      </c>
      <c r="AO315">
        <v>386078</v>
      </c>
      <c r="AP315">
        <v>-386078</v>
      </c>
      <c r="AQ315">
        <v>0</v>
      </c>
      <c r="AR315">
        <v>0</v>
      </c>
      <c r="AS315">
        <v>85101</v>
      </c>
      <c r="AT315">
        <v>-85101</v>
      </c>
      <c r="AU315">
        <v>0</v>
      </c>
      <c r="AV315">
        <v>0</v>
      </c>
      <c r="AW315">
        <v>300977</v>
      </c>
      <c r="AX315">
        <v>-300977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386078</v>
      </c>
      <c r="BN315">
        <v>-386078</v>
      </c>
      <c r="BO315">
        <v>0</v>
      </c>
      <c r="BP315" t="s">
        <v>942</v>
      </c>
    </row>
    <row r="316" spans="1:68" x14ac:dyDescent="0.35">
      <c r="A316" t="s">
        <v>944</v>
      </c>
      <c r="B316">
        <v>5000000</v>
      </c>
      <c r="C316">
        <v>0</v>
      </c>
      <c r="D316">
        <v>0</v>
      </c>
      <c r="E316">
        <v>0</v>
      </c>
      <c r="F316">
        <v>5000000</v>
      </c>
      <c r="G316">
        <v>5000000</v>
      </c>
      <c r="H316">
        <v>0</v>
      </c>
      <c r="I316">
        <v>0</v>
      </c>
      <c r="J316">
        <v>0</v>
      </c>
      <c r="K316">
        <v>5000000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5000000</v>
      </c>
      <c r="AG316">
        <v>0</v>
      </c>
      <c r="AH316">
        <v>0</v>
      </c>
      <c r="AI316">
        <v>0</v>
      </c>
      <c r="AJ316">
        <v>5000000</v>
      </c>
      <c r="AK316" t="s">
        <v>945</v>
      </c>
      <c r="AL316" t="s">
        <v>946</v>
      </c>
    </row>
    <row r="317" spans="1:68" x14ac:dyDescent="0.35">
      <c r="A317" t="s">
        <v>947</v>
      </c>
      <c r="B317">
        <v>5000000</v>
      </c>
      <c r="C317">
        <v>2811386.78</v>
      </c>
      <c r="D317">
        <v>1896727.35</v>
      </c>
      <c r="E317">
        <v>4708114.13</v>
      </c>
      <c r="F317">
        <v>291885.87</v>
      </c>
      <c r="G317">
        <v>2811386.78</v>
      </c>
      <c r="H317">
        <v>2811386.78</v>
      </c>
      <c r="I317">
        <v>0</v>
      </c>
      <c r="J317">
        <v>2811386.78</v>
      </c>
      <c r="K317">
        <v>0</v>
      </c>
      <c r="L317">
        <v>2188613.2200000002</v>
      </c>
      <c r="M317">
        <v>0</v>
      </c>
      <c r="N317">
        <v>1896727.35</v>
      </c>
      <c r="O317">
        <v>1896727.35</v>
      </c>
      <c r="P317">
        <v>291885.87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5000000</v>
      </c>
      <c r="AG317">
        <v>2811386.78</v>
      </c>
      <c r="AH317">
        <v>1896727.35</v>
      </c>
      <c r="AI317">
        <v>4708114.13</v>
      </c>
      <c r="AJ317">
        <v>291885.87</v>
      </c>
      <c r="AK317" t="s">
        <v>948</v>
      </c>
      <c r="AL317" t="s">
        <v>949</v>
      </c>
      <c r="AM317" t="s">
        <v>1468</v>
      </c>
      <c r="AN317">
        <v>0</v>
      </c>
      <c r="AO317">
        <v>2811387</v>
      </c>
      <c r="AP317">
        <v>-2811387</v>
      </c>
      <c r="AQ317">
        <v>0</v>
      </c>
      <c r="AR317">
        <v>0</v>
      </c>
      <c r="AS317">
        <v>2811387</v>
      </c>
      <c r="AT317">
        <v>-2811387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2811387</v>
      </c>
      <c r="BN317">
        <v>-2811387</v>
      </c>
      <c r="BO317">
        <v>0</v>
      </c>
      <c r="BP317" t="s">
        <v>948</v>
      </c>
    </row>
    <row r="318" spans="1:68" x14ac:dyDescent="0.35">
      <c r="A318" t="s">
        <v>950</v>
      </c>
      <c r="B318">
        <v>616900</v>
      </c>
      <c r="C318">
        <v>616900</v>
      </c>
      <c r="D318">
        <v>0</v>
      </c>
      <c r="E318">
        <v>616900</v>
      </c>
      <c r="F318">
        <v>0</v>
      </c>
      <c r="G318">
        <v>616900</v>
      </c>
      <c r="H318">
        <v>616900</v>
      </c>
      <c r="I318">
        <v>0</v>
      </c>
      <c r="J318">
        <v>616900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616900</v>
      </c>
      <c r="AG318">
        <v>616900</v>
      </c>
      <c r="AH318">
        <v>0</v>
      </c>
      <c r="AI318">
        <v>616900</v>
      </c>
      <c r="AJ318">
        <v>0</v>
      </c>
      <c r="AK318" t="s">
        <v>951</v>
      </c>
      <c r="AL318" t="s">
        <v>952</v>
      </c>
      <c r="AM318" t="s">
        <v>1469</v>
      </c>
      <c r="AN318">
        <v>0</v>
      </c>
      <c r="AO318">
        <v>616900</v>
      </c>
      <c r="AP318">
        <v>-616900</v>
      </c>
      <c r="AQ318">
        <v>0</v>
      </c>
      <c r="AR318">
        <v>0</v>
      </c>
      <c r="AS318">
        <v>616900</v>
      </c>
      <c r="AT318">
        <v>-616900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616900</v>
      </c>
      <c r="BN318">
        <v>-616900</v>
      </c>
      <c r="BO318">
        <v>0</v>
      </c>
      <c r="BP318" t="s">
        <v>951</v>
      </c>
    </row>
    <row r="319" spans="1:68" x14ac:dyDescent="0.35">
      <c r="A319" t="s">
        <v>953</v>
      </c>
      <c r="B319">
        <v>200000</v>
      </c>
      <c r="C319">
        <v>199936.62</v>
      </c>
      <c r="D319">
        <v>0</v>
      </c>
      <c r="E319">
        <v>199936.62</v>
      </c>
      <c r="F319">
        <v>63.38</v>
      </c>
      <c r="G319">
        <v>200000</v>
      </c>
      <c r="H319">
        <v>199936.62</v>
      </c>
      <c r="I319">
        <v>0</v>
      </c>
      <c r="J319">
        <v>199936.62</v>
      </c>
      <c r="K319">
        <v>63.38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200000</v>
      </c>
      <c r="AG319">
        <v>199936.62</v>
      </c>
      <c r="AH319">
        <v>0</v>
      </c>
      <c r="AI319">
        <v>199936.62</v>
      </c>
      <c r="AJ319">
        <v>63.38</v>
      </c>
      <c r="AK319" t="s">
        <v>954</v>
      </c>
      <c r="AL319" t="s">
        <v>955</v>
      </c>
      <c r="AM319" t="s">
        <v>1470</v>
      </c>
      <c r="AN319">
        <v>0</v>
      </c>
      <c r="AO319">
        <v>199937</v>
      </c>
      <c r="AP319">
        <v>-199937</v>
      </c>
      <c r="AQ319">
        <v>0</v>
      </c>
      <c r="AR319">
        <v>0</v>
      </c>
      <c r="AS319">
        <v>199937</v>
      </c>
      <c r="AT319">
        <v>-199937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199937</v>
      </c>
      <c r="BN319">
        <v>-199937</v>
      </c>
      <c r="BO319">
        <v>0</v>
      </c>
      <c r="BP319" t="s">
        <v>954</v>
      </c>
    </row>
    <row r="320" spans="1:68" x14ac:dyDescent="0.35">
      <c r="A320" t="s">
        <v>956</v>
      </c>
      <c r="B320">
        <v>2951011.91</v>
      </c>
      <c r="C320">
        <v>2950838.82</v>
      </c>
      <c r="D320">
        <v>0</v>
      </c>
      <c r="E320">
        <v>2950838.82</v>
      </c>
      <c r="F320">
        <v>173.09</v>
      </c>
      <c r="G320">
        <v>1951011.91</v>
      </c>
      <c r="H320">
        <v>1951011.91</v>
      </c>
      <c r="I320">
        <v>0</v>
      </c>
      <c r="J320">
        <v>1951011.91</v>
      </c>
      <c r="K320">
        <v>0</v>
      </c>
      <c r="L320">
        <v>1000000</v>
      </c>
      <c r="M320">
        <v>999826.91</v>
      </c>
      <c r="N320">
        <v>0</v>
      </c>
      <c r="O320">
        <v>999826.91</v>
      </c>
      <c r="P320">
        <v>173.09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2951011.91</v>
      </c>
      <c r="AG320">
        <v>2950838.82</v>
      </c>
      <c r="AH320">
        <v>0</v>
      </c>
      <c r="AI320">
        <v>2950838.82</v>
      </c>
      <c r="AJ320">
        <v>173.09</v>
      </c>
      <c r="AK320" t="s">
        <v>957</v>
      </c>
      <c r="AL320" t="s">
        <v>958</v>
      </c>
      <c r="AM320" t="s">
        <v>1471</v>
      </c>
      <c r="AN320">
        <v>0</v>
      </c>
      <c r="AO320">
        <v>2950839</v>
      </c>
      <c r="AP320">
        <v>-2950839</v>
      </c>
      <c r="AQ320">
        <v>0</v>
      </c>
      <c r="AR320">
        <v>0</v>
      </c>
      <c r="AS320">
        <v>1951012</v>
      </c>
      <c r="AT320">
        <v>-1951012</v>
      </c>
      <c r="AU320">
        <v>0</v>
      </c>
      <c r="AV320">
        <v>0</v>
      </c>
      <c r="AW320">
        <v>999827</v>
      </c>
      <c r="AX320">
        <v>-999827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2950839</v>
      </c>
      <c r="BN320">
        <v>-2950839</v>
      </c>
      <c r="BO320">
        <v>0</v>
      </c>
      <c r="BP320" t="s">
        <v>957</v>
      </c>
    </row>
    <row r="321" spans="1:68" x14ac:dyDescent="0.35">
      <c r="A321" t="s">
        <v>959</v>
      </c>
      <c r="B321">
        <v>4000000</v>
      </c>
      <c r="C321">
        <v>0</v>
      </c>
      <c r="D321">
        <v>0</v>
      </c>
      <c r="E321">
        <v>0</v>
      </c>
      <c r="F321">
        <v>4000000</v>
      </c>
      <c r="G321">
        <v>4000000</v>
      </c>
      <c r="H321">
        <v>0</v>
      </c>
      <c r="I321">
        <v>0</v>
      </c>
      <c r="J321">
        <v>0</v>
      </c>
      <c r="K321">
        <v>4000000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4000000</v>
      </c>
      <c r="AG321">
        <v>0</v>
      </c>
      <c r="AH321">
        <v>0</v>
      </c>
      <c r="AI321">
        <v>0</v>
      </c>
      <c r="AJ321">
        <v>4000000</v>
      </c>
      <c r="AK321" t="s">
        <v>960</v>
      </c>
      <c r="AL321" t="s">
        <v>961</v>
      </c>
    </row>
    <row r="322" spans="1:68" x14ac:dyDescent="0.35">
      <c r="A322" t="s">
        <v>962</v>
      </c>
      <c r="B322">
        <v>4000000</v>
      </c>
      <c r="C322">
        <v>0</v>
      </c>
      <c r="D322">
        <v>98498.15</v>
      </c>
      <c r="E322">
        <v>98498.15</v>
      </c>
      <c r="F322">
        <v>3901501.85</v>
      </c>
      <c r="G322">
        <v>4000000</v>
      </c>
      <c r="H322">
        <v>0</v>
      </c>
      <c r="I322">
        <v>98498.15</v>
      </c>
      <c r="J322">
        <v>98498.15</v>
      </c>
      <c r="K322">
        <v>3901501.85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4000000</v>
      </c>
      <c r="AG322">
        <v>0</v>
      </c>
      <c r="AH322">
        <v>98498.15</v>
      </c>
      <c r="AI322">
        <v>98498.15</v>
      </c>
      <c r="AJ322">
        <v>3901501.85</v>
      </c>
      <c r="AK322" t="s">
        <v>963</v>
      </c>
      <c r="AL322" t="s">
        <v>964</v>
      </c>
    </row>
    <row r="323" spans="1:68" x14ac:dyDescent="0.35">
      <c r="A323" t="s">
        <v>965</v>
      </c>
      <c r="B323">
        <v>4000000</v>
      </c>
      <c r="C323">
        <v>0</v>
      </c>
      <c r="D323">
        <v>0</v>
      </c>
      <c r="E323">
        <v>0</v>
      </c>
      <c r="F323">
        <v>4000000</v>
      </c>
      <c r="G323">
        <v>4000000</v>
      </c>
      <c r="H323">
        <v>0</v>
      </c>
      <c r="I323">
        <v>0</v>
      </c>
      <c r="J323">
        <v>0</v>
      </c>
      <c r="K323">
        <v>4000000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4000000</v>
      </c>
      <c r="AG323">
        <v>0</v>
      </c>
      <c r="AH323">
        <v>0</v>
      </c>
      <c r="AI323">
        <v>0</v>
      </c>
      <c r="AJ323">
        <v>4000000</v>
      </c>
      <c r="AK323" t="s">
        <v>966</v>
      </c>
      <c r="AL323" t="s">
        <v>967</v>
      </c>
    </row>
    <row r="324" spans="1:68" x14ac:dyDescent="0.35">
      <c r="A324" t="s">
        <v>968</v>
      </c>
      <c r="B324">
        <v>1500000</v>
      </c>
      <c r="C324">
        <v>0</v>
      </c>
      <c r="D324">
        <v>0</v>
      </c>
      <c r="E324">
        <v>0</v>
      </c>
      <c r="F324">
        <v>1500000</v>
      </c>
      <c r="G324">
        <v>1500000</v>
      </c>
      <c r="H324">
        <v>0</v>
      </c>
      <c r="I324">
        <v>0</v>
      </c>
      <c r="J324">
        <v>0</v>
      </c>
      <c r="K324">
        <v>1500000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1500000</v>
      </c>
      <c r="AG324">
        <v>0</v>
      </c>
      <c r="AH324">
        <v>0</v>
      </c>
      <c r="AI324">
        <v>0</v>
      </c>
      <c r="AJ324">
        <v>1500000</v>
      </c>
      <c r="AK324" t="s">
        <v>969</v>
      </c>
      <c r="AL324" t="s">
        <v>970</v>
      </c>
    </row>
    <row r="325" spans="1:68" x14ac:dyDescent="0.35">
      <c r="A325" t="s">
        <v>971</v>
      </c>
      <c r="B325">
        <v>1500000</v>
      </c>
      <c r="C325">
        <v>0</v>
      </c>
      <c r="D325">
        <v>0</v>
      </c>
      <c r="E325">
        <v>0</v>
      </c>
      <c r="F325">
        <v>1500000</v>
      </c>
      <c r="G325">
        <v>1500000</v>
      </c>
      <c r="H325">
        <v>0</v>
      </c>
      <c r="I325">
        <v>0</v>
      </c>
      <c r="J325">
        <v>0</v>
      </c>
      <c r="K325">
        <v>1500000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1500000</v>
      </c>
      <c r="AG325">
        <v>0</v>
      </c>
      <c r="AH325">
        <v>0</v>
      </c>
      <c r="AI325">
        <v>0</v>
      </c>
      <c r="AJ325">
        <v>1500000</v>
      </c>
      <c r="AK325" t="s">
        <v>972</v>
      </c>
      <c r="AL325" t="s">
        <v>973</v>
      </c>
    </row>
    <row r="326" spans="1:68" x14ac:dyDescent="0.35">
      <c r="A326" t="s">
        <v>974</v>
      </c>
      <c r="B326">
        <v>4000000</v>
      </c>
      <c r="C326">
        <v>0</v>
      </c>
      <c r="D326">
        <v>0</v>
      </c>
      <c r="E326">
        <v>0</v>
      </c>
      <c r="F326">
        <v>4000000</v>
      </c>
      <c r="G326">
        <v>4000000</v>
      </c>
      <c r="H326">
        <v>0</v>
      </c>
      <c r="I326">
        <v>0</v>
      </c>
      <c r="J326">
        <v>0</v>
      </c>
      <c r="K326">
        <v>4000000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4000000</v>
      </c>
      <c r="AG326">
        <v>0</v>
      </c>
      <c r="AH326">
        <v>0</v>
      </c>
      <c r="AI326">
        <v>0</v>
      </c>
      <c r="AJ326">
        <v>4000000</v>
      </c>
      <c r="AK326" t="s">
        <v>975</v>
      </c>
      <c r="AL326" t="s">
        <v>976</v>
      </c>
    </row>
    <row r="327" spans="1:68" x14ac:dyDescent="0.35">
      <c r="A327" t="s">
        <v>977</v>
      </c>
      <c r="B327">
        <v>4000000</v>
      </c>
      <c r="C327">
        <v>0</v>
      </c>
      <c r="D327">
        <v>0</v>
      </c>
      <c r="E327">
        <v>0</v>
      </c>
      <c r="F327">
        <v>4000000</v>
      </c>
      <c r="G327">
        <v>4000000</v>
      </c>
      <c r="H327">
        <v>0</v>
      </c>
      <c r="I327">
        <v>0</v>
      </c>
      <c r="J327">
        <v>0</v>
      </c>
      <c r="K327">
        <v>4000000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4000000</v>
      </c>
      <c r="AG327">
        <v>0</v>
      </c>
      <c r="AH327">
        <v>0</v>
      </c>
      <c r="AI327">
        <v>0</v>
      </c>
      <c r="AJ327">
        <v>4000000</v>
      </c>
      <c r="AK327" t="s">
        <v>978</v>
      </c>
      <c r="AL327" t="s">
        <v>979</v>
      </c>
    </row>
    <row r="328" spans="1:68" x14ac:dyDescent="0.35">
      <c r="A328" t="s">
        <v>980</v>
      </c>
      <c r="B328">
        <v>5000000</v>
      </c>
      <c r="C328">
        <v>1242051.68</v>
      </c>
      <c r="D328">
        <v>2898921.34</v>
      </c>
      <c r="E328">
        <v>4140973.02</v>
      </c>
      <c r="F328">
        <v>859026.98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5000000</v>
      </c>
      <c r="M328">
        <v>1242051.68</v>
      </c>
      <c r="N328">
        <v>2898921.34</v>
      </c>
      <c r="O328">
        <v>4140973.02</v>
      </c>
      <c r="P328">
        <v>859026.98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5000000</v>
      </c>
      <c r="AG328">
        <v>1242051.68</v>
      </c>
      <c r="AH328">
        <v>2898921.34</v>
      </c>
      <c r="AI328">
        <v>4140973.02</v>
      </c>
      <c r="AJ328">
        <v>859026.98</v>
      </c>
      <c r="AK328" t="s">
        <v>981</v>
      </c>
      <c r="AL328" t="s">
        <v>982</v>
      </c>
      <c r="AM328" t="s">
        <v>1472</v>
      </c>
      <c r="AN328">
        <v>0</v>
      </c>
      <c r="AO328">
        <v>1242052</v>
      </c>
      <c r="AP328">
        <v>-1242052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1242052</v>
      </c>
      <c r="AX328">
        <v>-1242052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1242052</v>
      </c>
      <c r="BN328">
        <v>-1242052</v>
      </c>
      <c r="BO328">
        <v>0</v>
      </c>
      <c r="BP328" t="s">
        <v>981</v>
      </c>
    </row>
    <row r="329" spans="1:68" x14ac:dyDescent="0.35">
      <c r="A329" t="s">
        <v>983</v>
      </c>
      <c r="B329">
        <v>1500000</v>
      </c>
      <c r="C329">
        <v>0</v>
      </c>
      <c r="D329">
        <v>0</v>
      </c>
      <c r="E329">
        <v>0</v>
      </c>
      <c r="F329">
        <v>1500000</v>
      </c>
      <c r="G329">
        <v>1500000</v>
      </c>
      <c r="H329">
        <v>0</v>
      </c>
      <c r="I329">
        <v>0</v>
      </c>
      <c r="J329">
        <v>0</v>
      </c>
      <c r="K329">
        <v>1500000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1500000</v>
      </c>
      <c r="AG329">
        <v>0</v>
      </c>
      <c r="AH329">
        <v>0</v>
      </c>
      <c r="AI329">
        <v>0</v>
      </c>
      <c r="AJ329">
        <v>1500000</v>
      </c>
      <c r="AK329" t="s">
        <v>984</v>
      </c>
      <c r="AL329" t="s">
        <v>985</v>
      </c>
    </row>
    <row r="330" spans="1:68" x14ac:dyDescent="0.35">
      <c r="A330" t="s">
        <v>986</v>
      </c>
      <c r="B330">
        <v>1500000</v>
      </c>
      <c r="C330">
        <v>0</v>
      </c>
      <c r="D330">
        <v>0</v>
      </c>
      <c r="E330">
        <v>0</v>
      </c>
      <c r="F330">
        <v>1500000</v>
      </c>
      <c r="G330">
        <v>1500000</v>
      </c>
      <c r="H330">
        <v>0</v>
      </c>
      <c r="I330">
        <v>0</v>
      </c>
      <c r="J330">
        <v>0</v>
      </c>
      <c r="K330">
        <v>1500000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1500000</v>
      </c>
      <c r="AG330">
        <v>0</v>
      </c>
      <c r="AH330">
        <v>0</v>
      </c>
      <c r="AI330">
        <v>0</v>
      </c>
      <c r="AJ330">
        <v>1500000</v>
      </c>
      <c r="AK330" t="s">
        <v>987</v>
      </c>
      <c r="AL330" t="s">
        <v>988</v>
      </c>
    </row>
    <row r="331" spans="1:68" x14ac:dyDescent="0.35">
      <c r="A331" t="s">
        <v>989</v>
      </c>
      <c r="B331">
        <v>4000000</v>
      </c>
      <c r="C331">
        <v>992101.83</v>
      </c>
      <c r="D331">
        <v>2901677.83</v>
      </c>
      <c r="E331">
        <v>3893779.66</v>
      </c>
      <c r="F331">
        <v>106220.34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4000000</v>
      </c>
      <c r="M331">
        <v>992101.83</v>
      </c>
      <c r="N331">
        <v>2901677.83</v>
      </c>
      <c r="O331">
        <v>3893779.66</v>
      </c>
      <c r="P331">
        <v>106220.34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4000000</v>
      </c>
      <c r="AG331">
        <v>992101.83</v>
      </c>
      <c r="AH331">
        <v>2901677.83</v>
      </c>
      <c r="AI331">
        <v>3893779.66</v>
      </c>
      <c r="AJ331">
        <v>106220.34</v>
      </c>
      <c r="AK331" t="s">
        <v>990</v>
      </c>
      <c r="AL331" t="s">
        <v>991</v>
      </c>
      <c r="AM331" t="s">
        <v>1473</v>
      </c>
      <c r="AN331">
        <v>0</v>
      </c>
      <c r="AO331">
        <v>992102</v>
      </c>
      <c r="AP331">
        <v>-992102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992102</v>
      </c>
      <c r="AX331">
        <v>-992102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992102</v>
      </c>
      <c r="BN331">
        <v>-992102</v>
      </c>
      <c r="BO331">
        <v>0</v>
      </c>
      <c r="BP331" t="s">
        <v>990</v>
      </c>
    </row>
    <row r="332" spans="1:68" x14ac:dyDescent="0.35">
      <c r="A332" t="s">
        <v>992</v>
      </c>
      <c r="B332">
        <v>1500000</v>
      </c>
      <c r="C332">
        <v>1050269.6200000001</v>
      </c>
      <c r="D332">
        <v>0.03</v>
      </c>
      <c r="E332">
        <v>1050269.6499999999</v>
      </c>
      <c r="F332">
        <v>449730.35</v>
      </c>
      <c r="G332">
        <v>1500000</v>
      </c>
      <c r="H332">
        <v>1050269.6200000001</v>
      </c>
      <c r="I332">
        <v>0.03</v>
      </c>
      <c r="J332">
        <v>1050269.6499999999</v>
      </c>
      <c r="K332">
        <v>449730.35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1500000</v>
      </c>
      <c r="AG332">
        <v>1050269.6200000001</v>
      </c>
      <c r="AH332">
        <v>0.03</v>
      </c>
      <c r="AI332">
        <v>1050269.6499999999</v>
      </c>
      <c r="AJ332">
        <v>449730.35</v>
      </c>
      <c r="AK332" t="s">
        <v>993</v>
      </c>
      <c r="AL332" t="s">
        <v>994</v>
      </c>
      <c r="AM332" t="s">
        <v>1474</v>
      </c>
      <c r="AN332">
        <v>0</v>
      </c>
      <c r="AO332">
        <v>1050270</v>
      </c>
      <c r="AP332">
        <v>-1050270</v>
      </c>
      <c r="AQ332">
        <v>0</v>
      </c>
      <c r="AR332">
        <v>0</v>
      </c>
      <c r="AS332">
        <v>1050270</v>
      </c>
      <c r="AT332">
        <v>-1050270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1050270</v>
      </c>
      <c r="BN332">
        <v>-1050270</v>
      </c>
      <c r="BO332">
        <v>0</v>
      </c>
      <c r="BP332" t="s">
        <v>993</v>
      </c>
    </row>
    <row r="333" spans="1:68" x14ac:dyDescent="0.35">
      <c r="A333" t="s">
        <v>995</v>
      </c>
      <c r="B333">
        <v>2100000</v>
      </c>
      <c r="C333">
        <v>1362530.91</v>
      </c>
      <c r="D333">
        <v>400199.6</v>
      </c>
      <c r="E333">
        <v>1762730.51</v>
      </c>
      <c r="F333">
        <v>337269.49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2100000</v>
      </c>
      <c r="M333">
        <v>1362530.91</v>
      </c>
      <c r="N333">
        <v>400199.6</v>
      </c>
      <c r="O333">
        <v>1762730.51</v>
      </c>
      <c r="P333">
        <v>337269.49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2100000</v>
      </c>
      <c r="AG333">
        <v>1362530.91</v>
      </c>
      <c r="AH333">
        <v>400199.6</v>
      </c>
      <c r="AI333">
        <v>1762730.51</v>
      </c>
      <c r="AJ333">
        <v>337269.49</v>
      </c>
      <c r="AK333" t="s">
        <v>996</v>
      </c>
      <c r="AL333" t="s">
        <v>997</v>
      </c>
      <c r="AM333" t="s">
        <v>1475</v>
      </c>
      <c r="AN333">
        <v>0</v>
      </c>
      <c r="AO333">
        <v>1362531</v>
      </c>
      <c r="AP333">
        <v>-1362531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1362531</v>
      </c>
      <c r="AX333">
        <v>-1362531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1362531</v>
      </c>
      <c r="BN333">
        <v>-1362531</v>
      </c>
      <c r="BO333">
        <v>0</v>
      </c>
      <c r="BP333" t="s">
        <v>996</v>
      </c>
    </row>
    <row r="334" spans="1:68" x14ac:dyDescent="0.35">
      <c r="A334" t="s">
        <v>998</v>
      </c>
      <c r="B334">
        <v>7500000</v>
      </c>
      <c r="C334">
        <v>0</v>
      </c>
      <c r="D334">
        <v>0</v>
      </c>
      <c r="E334">
        <v>0</v>
      </c>
      <c r="F334">
        <v>7500000</v>
      </c>
      <c r="G334">
        <v>7500000</v>
      </c>
      <c r="H334">
        <v>0</v>
      </c>
      <c r="I334">
        <v>0</v>
      </c>
      <c r="J334">
        <v>0</v>
      </c>
      <c r="K334">
        <v>7500000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7500000</v>
      </c>
      <c r="AG334">
        <v>0</v>
      </c>
      <c r="AH334">
        <v>0</v>
      </c>
      <c r="AI334">
        <v>0</v>
      </c>
      <c r="AJ334">
        <v>7500000</v>
      </c>
      <c r="AK334" t="s">
        <v>999</v>
      </c>
      <c r="AL334" t="s">
        <v>1000</v>
      </c>
    </row>
    <row r="335" spans="1:68" x14ac:dyDescent="0.35">
      <c r="A335" t="s">
        <v>1001</v>
      </c>
      <c r="B335">
        <v>3000000</v>
      </c>
      <c r="C335">
        <v>0</v>
      </c>
      <c r="D335">
        <v>0</v>
      </c>
      <c r="E335">
        <v>0</v>
      </c>
      <c r="F335">
        <v>3000000</v>
      </c>
      <c r="G335">
        <v>3000000</v>
      </c>
      <c r="H335">
        <v>0</v>
      </c>
      <c r="I335">
        <v>0</v>
      </c>
      <c r="J335">
        <v>0</v>
      </c>
      <c r="K335">
        <v>3000000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3000000</v>
      </c>
      <c r="AG335">
        <v>0</v>
      </c>
      <c r="AH335">
        <v>0</v>
      </c>
      <c r="AI335">
        <v>0</v>
      </c>
      <c r="AJ335">
        <v>3000000</v>
      </c>
      <c r="AK335" t="s">
        <v>1002</v>
      </c>
      <c r="AL335" t="s">
        <v>1003</v>
      </c>
    </row>
    <row r="336" spans="1:68" x14ac:dyDescent="0.35">
      <c r="A336" t="s">
        <v>1004</v>
      </c>
      <c r="B336">
        <v>2000000</v>
      </c>
      <c r="C336">
        <v>0</v>
      </c>
      <c r="D336">
        <v>0</v>
      </c>
      <c r="E336">
        <v>0</v>
      </c>
      <c r="F336">
        <v>2000000</v>
      </c>
      <c r="G336">
        <v>2000000</v>
      </c>
      <c r="H336">
        <v>0</v>
      </c>
      <c r="I336">
        <v>0</v>
      </c>
      <c r="J336">
        <v>0</v>
      </c>
      <c r="K336">
        <v>2000000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2000000</v>
      </c>
      <c r="AG336">
        <v>0</v>
      </c>
      <c r="AH336">
        <v>0</v>
      </c>
      <c r="AI336">
        <v>0</v>
      </c>
      <c r="AJ336">
        <v>2000000</v>
      </c>
      <c r="AK336" t="s">
        <v>1005</v>
      </c>
      <c r="AL336" t="s">
        <v>1006</v>
      </c>
    </row>
    <row r="337" spans="1:68" x14ac:dyDescent="0.35">
      <c r="A337" t="s">
        <v>1007</v>
      </c>
      <c r="B337">
        <v>6000000</v>
      </c>
      <c r="C337">
        <v>0</v>
      </c>
      <c r="D337">
        <v>0</v>
      </c>
      <c r="E337">
        <v>0</v>
      </c>
      <c r="F337">
        <v>6000000</v>
      </c>
      <c r="G337">
        <v>6000000</v>
      </c>
      <c r="H337">
        <v>0</v>
      </c>
      <c r="I337">
        <v>0</v>
      </c>
      <c r="J337">
        <v>0</v>
      </c>
      <c r="K337">
        <v>6000000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6000000</v>
      </c>
      <c r="AG337">
        <v>0</v>
      </c>
      <c r="AH337">
        <v>0</v>
      </c>
      <c r="AI337">
        <v>0</v>
      </c>
      <c r="AJ337">
        <v>6000000</v>
      </c>
      <c r="AK337" t="s">
        <v>1008</v>
      </c>
      <c r="AL337" t="s">
        <v>1009</v>
      </c>
    </row>
    <row r="338" spans="1:68" x14ac:dyDescent="0.35">
      <c r="A338" t="s">
        <v>1010</v>
      </c>
      <c r="B338">
        <v>4000000</v>
      </c>
      <c r="C338">
        <v>0</v>
      </c>
      <c r="D338">
        <v>0</v>
      </c>
      <c r="E338">
        <v>0</v>
      </c>
      <c r="F338">
        <v>4000000</v>
      </c>
      <c r="G338">
        <v>4000000</v>
      </c>
      <c r="H338">
        <v>0</v>
      </c>
      <c r="I338">
        <v>0</v>
      </c>
      <c r="J338">
        <v>0</v>
      </c>
      <c r="K338">
        <v>4000000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4000000</v>
      </c>
      <c r="AG338">
        <v>0</v>
      </c>
      <c r="AH338">
        <v>0</v>
      </c>
      <c r="AI338">
        <v>0</v>
      </c>
      <c r="AJ338">
        <v>4000000</v>
      </c>
      <c r="AK338" t="s">
        <v>1011</v>
      </c>
      <c r="AL338" t="s">
        <v>1012</v>
      </c>
    </row>
    <row r="339" spans="1:68" x14ac:dyDescent="0.35">
      <c r="A339" t="s">
        <v>1013</v>
      </c>
      <c r="B339">
        <v>4000000</v>
      </c>
      <c r="C339">
        <v>0</v>
      </c>
      <c r="D339">
        <v>3382748.54</v>
      </c>
      <c r="E339">
        <v>3382748.54</v>
      </c>
      <c r="F339">
        <v>617251.46</v>
      </c>
      <c r="G339">
        <v>4000000</v>
      </c>
      <c r="H339">
        <v>0</v>
      </c>
      <c r="I339">
        <v>3382748.54</v>
      </c>
      <c r="J339">
        <v>3382748.54</v>
      </c>
      <c r="K339">
        <v>617251.46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4000000</v>
      </c>
      <c r="AG339">
        <v>0</v>
      </c>
      <c r="AH339">
        <v>3382748.54</v>
      </c>
      <c r="AI339">
        <v>3382748.54</v>
      </c>
      <c r="AJ339">
        <v>617251.46</v>
      </c>
      <c r="AK339" t="s">
        <v>1014</v>
      </c>
      <c r="AL339" t="s">
        <v>1015</v>
      </c>
    </row>
    <row r="340" spans="1:68" x14ac:dyDescent="0.35">
      <c r="A340" t="s">
        <v>1016</v>
      </c>
      <c r="B340">
        <v>2000000</v>
      </c>
      <c r="C340">
        <v>0</v>
      </c>
      <c r="D340">
        <v>0</v>
      </c>
      <c r="E340">
        <v>0</v>
      </c>
      <c r="F340">
        <v>2000000</v>
      </c>
      <c r="G340">
        <v>2000000</v>
      </c>
      <c r="H340">
        <v>0</v>
      </c>
      <c r="I340">
        <v>0</v>
      </c>
      <c r="J340">
        <v>0</v>
      </c>
      <c r="K340">
        <v>2000000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2000000</v>
      </c>
      <c r="AG340">
        <v>0</v>
      </c>
      <c r="AH340">
        <v>0</v>
      </c>
      <c r="AI340">
        <v>0</v>
      </c>
      <c r="AJ340">
        <v>2000000</v>
      </c>
      <c r="AK340" t="s">
        <v>1017</v>
      </c>
      <c r="AL340" t="s">
        <v>1018</v>
      </c>
    </row>
    <row r="341" spans="1:68" x14ac:dyDescent="0.35">
      <c r="A341" t="s">
        <v>1019</v>
      </c>
      <c r="B341">
        <v>2000000</v>
      </c>
      <c r="C341">
        <v>0</v>
      </c>
      <c r="D341">
        <v>0</v>
      </c>
      <c r="E341">
        <v>0</v>
      </c>
      <c r="F341">
        <v>2000000</v>
      </c>
      <c r="G341">
        <v>2000000</v>
      </c>
      <c r="H341">
        <v>0</v>
      </c>
      <c r="I341">
        <v>0</v>
      </c>
      <c r="J341">
        <v>0</v>
      </c>
      <c r="K341">
        <v>2000000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2000000</v>
      </c>
      <c r="AG341">
        <v>0</v>
      </c>
      <c r="AH341">
        <v>0</v>
      </c>
      <c r="AI341">
        <v>0</v>
      </c>
      <c r="AJ341">
        <v>2000000</v>
      </c>
      <c r="AK341" t="s">
        <v>1020</v>
      </c>
      <c r="AL341" t="s">
        <v>1021</v>
      </c>
    </row>
    <row r="342" spans="1:68" x14ac:dyDescent="0.35">
      <c r="A342" t="s">
        <v>1022</v>
      </c>
      <c r="B342">
        <v>1500000</v>
      </c>
      <c r="C342">
        <v>0</v>
      </c>
      <c r="D342">
        <v>0</v>
      </c>
      <c r="E342">
        <v>0</v>
      </c>
      <c r="F342">
        <v>1500000</v>
      </c>
      <c r="G342">
        <v>1500000</v>
      </c>
      <c r="H342">
        <v>0</v>
      </c>
      <c r="I342">
        <v>0</v>
      </c>
      <c r="J342">
        <v>0</v>
      </c>
      <c r="K342">
        <v>1500000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1500000</v>
      </c>
      <c r="AG342">
        <v>0</v>
      </c>
      <c r="AH342">
        <v>0</v>
      </c>
      <c r="AI342">
        <v>0</v>
      </c>
      <c r="AJ342">
        <v>1500000</v>
      </c>
      <c r="AK342" t="s">
        <v>1023</v>
      </c>
      <c r="AL342" t="s">
        <v>1024</v>
      </c>
    </row>
    <row r="343" spans="1:68" x14ac:dyDescent="0.35">
      <c r="A343" t="s">
        <v>1025</v>
      </c>
      <c r="B343">
        <v>2500000</v>
      </c>
      <c r="C343">
        <v>0</v>
      </c>
      <c r="D343">
        <v>0</v>
      </c>
      <c r="E343">
        <v>0</v>
      </c>
      <c r="F343">
        <v>2500000</v>
      </c>
      <c r="G343">
        <v>2500000</v>
      </c>
      <c r="H343">
        <v>0</v>
      </c>
      <c r="I343">
        <v>0</v>
      </c>
      <c r="J343">
        <v>0</v>
      </c>
      <c r="K343">
        <v>2500000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2500000</v>
      </c>
      <c r="AG343">
        <v>0</v>
      </c>
      <c r="AH343">
        <v>0</v>
      </c>
      <c r="AI343">
        <v>0</v>
      </c>
      <c r="AJ343">
        <v>2500000</v>
      </c>
      <c r="AK343" t="s">
        <v>1026</v>
      </c>
      <c r="AL343" t="s">
        <v>1027</v>
      </c>
    </row>
    <row r="344" spans="1:68" x14ac:dyDescent="0.35">
      <c r="A344" t="s">
        <v>1028</v>
      </c>
      <c r="B344">
        <v>2000000</v>
      </c>
      <c r="C344">
        <v>0</v>
      </c>
      <c r="D344">
        <v>0</v>
      </c>
      <c r="E344">
        <v>0</v>
      </c>
      <c r="F344">
        <v>2000000</v>
      </c>
      <c r="G344">
        <v>2000000</v>
      </c>
      <c r="H344">
        <v>0</v>
      </c>
      <c r="I344">
        <v>0</v>
      </c>
      <c r="J344">
        <v>0</v>
      </c>
      <c r="K344">
        <v>2000000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2000000</v>
      </c>
      <c r="AG344">
        <v>0</v>
      </c>
      <c r="AH344">
        <v>0</v>
      </c>
      <c r="AI344">
        <v>0</v>
      </c>
      <c r="AJ344">
        <v>2000000</v>
      </c>
      <c r="AK344" t="s">
        <v>1029</v>
      </c>
      <c r="AL344" t="s">
        <v>1030</v>
      </c>
    </row>
    <row r="345" spans="1:68" x14ac:dyDescent="0.35">
      <c r="A345" t="s">
        <v>1031</v>
      </c>
      <c r="B345">
        <v>2000000</v>
      </c>
      <c r="C345">
        <v>2000</v>
      </c>
      <c r="D345">
        <v>0</v>
      </c>
      <c r="E345">
        <v>2000</v>
      </c>
      <c r="F345">
        <v>1998000</v>
      </c>
      <c r="G345">
        <v>2000000</v>
      </c>
      <c r="H345">
        <v>2000</v>
      </c>
      <c r="I345">
        <v>0</v>
      </c>
      <c r="J345">
        <v>2000</v>
      </c>
      <c r="K345">
        <v>1998000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2000000</v>
      </c>
      <c r="AG345">
        <v>2000</v>
      </c>
      <c r="AH345">
        <v>0</v>
      </c>
      <c r="AI345">
        <v>2000</v>
      </c>
      <c r="AJ345">
        <v>1998000</v>
      </c>
      <c r="AK345" t="s">
        <v>1032</v>
      </c>
      <c r="AL345" t="s">
        <v>1033</v>
      </c>
      <c r="AM345" t="s">
        <v>1476</v>
      </c>
      <c r="AN345">
        <v>0</v>
      </c>
      <c r="AO345">
        <v>2000</v>
      </c>
      <c r="AP345">
        <v>-2000</v>
      </c>
      <c r="AQ345">
        <v>0</v>
      </c>
      <c r="AR345">
        <v>0</v>
      </c>
      <c r="AS345">
        <v>2000</v>
      </c>
      <c r="AT345">
        <v>-2000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2000</v>
      </c>
      <c r="BN345">
        <v>-2000</v>
      </c>
      <c r="BO345">
        <v>0</v>
      </c>
      <c r="BP345" t="s">
        <v>1032</v>
      </c>
    </row>
    <row r="346" spans="1:68" x14ac:dyDescent="0.35">
      <c r="A346" t="s">
        <v>1034</v>
      </c>
      <c r="B346">
        <v>2000000</v>
      </c>
      <c r="C346">
        <v>0</v>
      </c>
      <c r="D346">
        <v>0</v>
      </c>
      <c r="E346">
        <v>0</v>
      </c>
      <c r="F346">
        <v>2000000</v>
      </c>
      <c r="G346">
        <v>2000000</v>
      </c>
      <c r="H346">
        <v>0</v>
      </c>
      <c r="I346">
        <v>0</v>
      </c>
      <c r="J346">
        <v>0</v>
      </c>
      <c r="K346">
        <v>2000000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2000000</v>
      </c>
      <c r="AG346">
        <v>0</v>
      </c>
      <c r="AH346">
        <v>0</v>
      </c>
      <c r="AI346">
        <v>0</v>
      </c>
      <c r="AJ346">
        <v>2000000</v>
      </c>
      <c r="AK346" t="s">
        <v>1035</v>
      </c>
      <c r="AL346" t="s">
        <v>1036</v>
      </c>
    </row>
    <row r="347" spans="1:68" x14ac:dyDescent="0.35">
      <c r="A347" t="s">
        <v>1037</v>
      </c>
      <c r="B347">
        <v>2000000</v>
      </c>
      <c r="C347">
        <v>0</v>
      </c>
      <c r="D347">
        <v>1693809.63</v>
      </c>
      <c r="E347">
        <v>1693809.63</v>
      </c>
      <c r="F347">
        <v>306190.37</v>
      </c>
      <c r="G347">
        <v>2000000</v>
      </c>
      <c r="H347">
        <v>0</v>
      </c>
      <c r="I347">
        <v>1693809.63</v>
      </c>
      <c r="J347">
        <v>1693809.63</v>
      </c>
      <c r="K347">
        <v>306190.37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2000000</v>
      </c>
      <c r="AG347">
        <v>0</v>
      </c>
      <c r="AH347">
        <v>1693809.63</v>
      </c>
      <c r="AI347">
        <v>1693809.63</v>
      </c>
      <c r="AJ347">
        <v>306190.37</v>
      </c>
      <c r="AK347" t="s">
        <v>1038</v>
      </c>
      <c r="AL347" t="s">
        <v>1039</v>
      </c>
    </row>
    <row r="348" spans="1:68" x14ac:dyDescent="0.35">
      <c r="A348" t="s">
        <v>1040</v>
      </c>
      <c r="B348">
        <v>2000000</v>
      </c>
      <c r="C348">
        <v>0</v>
      </c>
      <c r="D348">
        <v>0</v>
      </c>
      <c r="E348">
        <v>0</v>
      </c>
      <c r="F348">
        <v>2000000</v>
      </c>
      <c r="G348">
        <v>2000000</v>
      </c>
      <c r="H348">
        <v>0</v>
      </c>
      <c r="I348">
        <v>0</v>
      </c>
      <c r="J348">
        <v>0</v>
      </c>
      <c r="K348">
        <v>2000000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2000000</v>
      </c>
      <c r="AG348">
        <v>0</v>
      </c>
      <c r="AH348">
        <v>0</v>
      </c>
      <c r="AI348">
        <v>0</v>
      </c>
      <c r="AJ348">
        <v>2000000</v>
      </c>
      <c r="AK348" t="s">
        <v>1041</v>
      </c>
      <c r="AL348" t="s">
        <v>1042</v>
      </c>
    </row>
    <row r="349" spans="1:68" x14ac:dyDescent="0.35">
      <c r="A349" t="s">
        <v>1043</v>
      </c>
      <c r="B349">
        <v>1500000</v>
      </c>
      <c r="C349">
        <v>0</v>
      </c>
      <c r="D349">
        <v>0</v>
      </c>
      <c r="E349">
        <v>0</v>
      </c>
      <c r="F349">
        <v>1500000</v>
      </c>
      <c r="G349">
        <v>1500000</v>
      </c>
      <c r="H349">
        <v>0</v>
      </c>
      <c r="I349">
        <v>0</v>
      </c>
      <c r="J349">
        <v>0</v>
      </c>
      <c r="K349">
        <v>1500000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1500000</v>
      </c>
      <c r="AG349">
        <v>0</v>
      </c>
      <c r="AH349">
        <v>0</v>
      </c>
      <c r="AI349">
        <v>0</v>
      </c>
      <c r="AJ349">
        <v>1500000</v>
      </c>
      <c r="AK349" t="s">
        <v>1044</v>
      </c>
      <c r="AL349" t="s">
        <v>1045</v>
      </c>
    </row>
    <row r="350" spans="1:68" x14ac:dyDescent="0.35">
      <c r="A350" t="s">
        <v>1046</v>
      </c>
      <c r="B350">
        <v>16279000</v>
      </c>
      <c r="C350">
        <v>14903518.390000001</v>
      </c>
      <c r="D350">
        <v>0</v>
      </c>
      <c r="E350">
        <v>14903518.390000001</v>
      </c>
      <c r="F350">
        <v>1375481.61</v>
      </c>
      <c r="G350">
        <v>16279000</v>
      </c>
      <c r="H350">
        <v>14903518.390000001</v>
      </c>
      <c r="I350">
        <v>0</v>
      </c>
      <c r="J350">
        <v>14903518.390000001</v>
      </c>
      <c r="K350">
        <v>1375481.61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16279000</v>
      </c>
      <c r="AG350">
        <v>14903518.390000001</v>
      </c>
      <c r="AH350">
        <v>0</v>
      </c>
      <c r="AI350">
        <v>14903518.390000001</v>
      </c>
      <c r="AJ350">
        <v>1375481.61</v>
      </c>
      <c r="AK350" t="s">
        <v>1047</v>
      </c>
      <c r="AL350" t="s">
        <v>1048</v>
      </c>
      <c r="AM350" t="s">
        <v>1477</v>
      </c>
      <c r="AN350">
        <v>0</v>
      </c>
      <c r="AO350">
        <v>14903518</v>
      </c>
      <c r="AP350">
        <v>-14903518</v>
      </c>
      <c r="AQ350">
        <v>0</v>
      </c>
      <c r="AR350">
        <v>0</v>
      </c>
      <c r="AS350">
        <v>14903518</v>
      </c>
      <c r="AT350">
        <v>-14903518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14903518</v>
      </c>
      <c r="BN350">
        <v>-14903518</v>
      </c>
      <c r="BO350">
        <v>0</v>
      </c>
      <c r="BP350" t="s">
        <v>1047</v>
      </c>
    </row>
    <row r="351" spans="1:68" x14ac:dyDescent="0.35">
      <c r="A351" t="s">
        <v>1049</v>
      </c>
      <c r="B351">
        <v>7000000</v>
      </c>
      <c r="C351">
        <v>0</v>
      </c>
      <c r="D351">
        <v>0</v>
      </c>
      <c r="E351">
        <v>0</v>
      </c>
      <c r="F351">
        <v>7000000</v>
      </c>
      <c r="G351">
        <v>7000000</v>
      </c>
      <c r="H351">
        <v>0</v>
      </c>
      <c r="I351">
        <v>0</v>
      </c>
      <c r="J351">
        <v>0</v>
      </c>
      <c r="K351">
        <v>7000000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7000000</v>
      </c>
      <c r="AG351">
        <v>0</v>
      </c>
      <c r="AH351">
        <v>0</v>
      </c>
      <c r="AI351">
        <v>0</v>
      </c>
      <c r="AJ351">
        <v>7000000</v>
      </c>
      <c r="AK351" t="s">
        <v>1050</v>
      </c>
      <c r="AL351" t="s">
        <v>1051</v>
      </c>
    </row>
    <row r="352" spans="1:68" x14ac:dyDescent="0.35">
      <c r="A352" t="s">
        <v>1052</v>
      </c>
      <c r="B352">
        <v>6000000</v>
      </c>
      <c r="C352">
        <v>0</v>
      </c>
      <c r="D352">
        <v>0</v>
      </c>
      <c r="E352">
        <v>0</v>
      </c>
      <c r="F352">
        <v>6000000</v>
      </c>
      <c r="G352">
        <v>6000000</v>
      </c>
      <c r="H352">
        <v>0</v>
      </c>
      <c r="I352">
        <v>0</v>
      </c>
      <c r="J352">
        <v>0</v>
      </c>
      <c r="K352">
        <v>6000000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6000000</v>
      </c>
      <c r="AG352">
        <v>0</v>
      </c>
      <c r="AH352">
        <v>0</v>
      </c>
      <c r="AI352">
        <v>0</v>
      </c>
      <c r="AJ352">
        <v>6000000</v>
      </c>
      <c r="AK352" t="s">
        <v>1053</v>
      </c>
      <c r="AL352" t="s">
        <v>1054</v>
      </c>
    </row>
    <row r="353" spans="1:68" x14ac:dyDescent="0.35">
      <c r="A353" t="s">
        <v>1055</v>
      </c>
      <c r="B353">
        <v>5000000</v>
      </c>
      <c r="C353">
        <v>4999651.9800000004</v>
      </c>
      <c r="D353">
        <v>0</v>
      </c>
      <c r="E353">
        <v>4999651.9800000004</v>
      </c>
      <c r="F353">
        <v>348.02</v>
      </c>
      <c r="G353">
        <v>5000000</v>
      </c>
      <c r="H353">
        <v>4999651.9800000004</v>
      </c>
      <c r="I353">
        <v>0</v>
      </c>
      <c r="J353">
        <v>4999651.9800000004</v>
      </c>
      <c r="K353">
        <v>348.02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5000000</v>
      </c>
      <c r="AG353">
        <v>4999651.9800000004</v>
      </c>
      <c r="AH353">
        <v>0</v>
      </c>
      <c r="AI353">
        <v>4999651.9800000004</v>
      </c>
      <c r="AJ353">
        <v>348.02</v>
      </c>
      <c r="AK353" t="s">
        <v>1056</v>
      </c>
      <c r="AL353" t="s">
        <v>1057</v>
      </c>
      <c r="AM353" t="s">
        <v>1478</v>
      </c>
      <c r="AN353">
        <v>0</v>
      </c>
      <c r="AO353">
        <v>4999652</v>
      </c>
      <c r="AP353">
        <v>-4999652</v>
      </c>
      <c r="AQ353">
        <v>0</v>
      </c>
      <c r="AR353">
        <v>0</v>
      </c>
      <c r="AS353">
        <v>4999652</v>
      </c>
      <c r="AT353">
        <v>-4999652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4999652</v>
      </c>
      <c r="BN353">
        <v>-4999652</v>
      </c>
      <c r="BO353">
        <v>0</v>
      </c>
      <c r="BP353" t="s">
        <v>1056</v>
      </c>
    </row>
    <row r="354" spans="1:68" x14ac:dyDescent="0.35">
      <c r="A354" t="s">
        <v>1058</v>
      </c>
      <c r="B354">
        <v>10200000</v>
      </c>
      <c r="C354">
        <v>8851430.2100000009</v>
      </c>
      <c r="D354">
        <v>0.04</v>
      </c>
      <c r="E354">
        <v>8851430.25</v>
      </c>
      <c r="F354">
        <v>1348569.75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10200000</v>
      </c>
      <c r="M354">
        <v>8851430.2100000009</v>
      </c>
      <c r="N354">
        <v>0.04</v>
      </c>
      <c r="O354">
        <v>8851430.25</v>
      </c>
      <c r="P354">
        <v>1348569.75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10200000</v>
      </c>
      <c r="AG354">
        <v>8851430.2100000009</v>
      </c>
      <c r="AH354">
        <v>0.04</v>
      </c>
      <c r="AI354">
        <v>8851430.25</v>
      </c>
      <c r="AJ354">
        <v>1348569.75</v>
      </c>
      <c r="AK354" t="s">
        <v>600</v>
      </c>
      <c r="AL354" t="s">
        <v>1059</v>
      </c>
      <c r="AM354" t="s">
        <v>1479</v>
      </c>
      <c r="AN354">
        <v>0</v>
      </c>
      <c r="AO354">
        <v>8851430</v>
      </c>
      <c r="AP354">
        <v>-8851430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8851430</v>
      </c>
      <c r="AX354">
        <v>-8851430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8851430</v>
      </c>
      <c r="BN354">
        <v>-8851430</v>
      </c>
      <c r="BO354">
        <v>0</v>
      </c>
      <c r="BP354" t="s">
        <v>600</v>
      </c>
    </row>
    <row r="355" spans="1:68" x14ac:dyDescent="0.35">
      <c r="A355" t="s">
        <v>1060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1061</v>
      </c>
      <c r="AL355" t="s">
        <v>1062</v>
      </c>
    </row>
    <row r="356" spans="1:68" x14ac:dyDescent="0.35">
      <c r="A356" t="s">
        <v>1063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1064</v>
      </c>
      <c r="AL356" t="s">
        <v>1065</v>
      </c>
    </row>
    <row r="357" spans="1:68" x14ac:dyDescent="0.35">
      <c r="A357" t="s">
        <v>1066</v>
      </c>
      <c r="B357">
        <v>1132000</v>
      </c>
      <c r="C357">
        <v>1130800.01</v>
      </c>
      <c r="D357">
        <v>0</v>
      </c>
      <c r="E357">
        <v>1130800.01</v>
      </c>
      <c r="F357">
        <v>1199.99</v>
      </c>
      <c r="G357">
        <v>1132000</v>
      </c>
      <c r="H357">
        <v>1130800.01</v>
      </c>
      <c r="I357">
        <v>0</v>
      </c>
      <c r="J357">
        <v>1130800.01</v>
      </c>
      <c r="K357">
        <v>1199.99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1132000</v>
      </c>
      <c r="AG357">
        <v>1130800.01</v>
      </c>
      <c r="AH357">
        <v>0</v>
      </c>
      <c r="AI357">
        <v>1130800.01</v>
      </c>
      <c r="AJ357">
        <v>1199.99</v>
      </c>
      <c r="AK357" t="s">
        <v>1067</v>
      </c>
      <c r="AL357" t="s">
        <v>1068</v>
      </c>
      <c r="AM357" t="s">
        <v>1480</v>
      </c>
      <c r="AN357">
        <v>0</v>
      </c>
      <c r="AO357">
        <v>1130800</v>
      </c>
      <c r="AP357">
        <v>-1130800</v>
      </c>
      <c r="AQ357">
        <v>0</v>
      </c>
      <c r="AR357">
        <v>0</v>
      </c>
      <c r="AS357">
        <v>1130800</v>
      </c>
      <c r="AT357">
        <v>-1130800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1130800</v>
      </c>
      <c r="BN357">
        <v>-1130800</v>
      </c>
      <c r="BO357">
        <v>0</v>
      </c>
      <c r="BP357" t="s">
        <v>1067</v>
      </c>
    </row>
    <row r="358" spans="1:68" x14ac:dyDescent="0.35">
      <c r="A358" t="s">
        <v>1069</v>
      </c>
      <c r="B358">
        <v>1500000</v>
      </c>
      <c r="C358">
        <v>0</v>
      </c>
      <c r="D358">
        <v>0</v>
      </c>
      <c r="E358">
        <v>0</v>
      </c>
      <c r="F358">
        <v>1500000</v>
      </c>
      <c r="G358">
        <v>1500000</v>
      </c>
      <c r="H358">
        <v>0</v>
      </c>
      <c r="I358">
        <v>0</v>
      </c>
      <c r="J358">
        <v>0</v>
      </c>
      <c r="K358">
        <v>1500000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1500000</v>
      </c>
      <c r="AG358">
        <v>0</v>
      </c>
      <c r="AH358">
        <v>0</v>
      </c>
      <c r="AI358">
        <v>0</v>
      </c>
      <c r="AJ358">
        <v>1500000</v>
      </c>
      <c r="AK358" t="s">
        <v>1070</v>
      </c>
      <c r="AL358" t="s">
        <v>1071</v>
      </c>
    </row>
    <row r="359" spans="1:68" x14ac:dyDescent="0.35">
      <c r="A359" t="s">
        <v>1072</v>
      </c>
      <c r="B359">
        <v>0</v>
      </c>
      <c r="C359">
        <v>-5.04</v>
      </c>
      <c r="D359">
        <v>0</v>
      </c>
      <c r="E359">
        <v>-5.04</v>
      </c>
      <c r="F359">
        <v>5.04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-5.04</v>
      </c>
      <c r="N359">
        <v>0</v>
      </c>
      <c r="O359">
        <v>-5.04</v>
      </c>
      <c r="P359">
        <v>5.04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-5.04</v>
      </c>
      <c r="AH359">
        <v>0</v>
      </c>
      <c r="AI359">
        <v>-5.04</v>
      </c>
      <c r="AJ359">
        <v>5.04</v>
      </c>
      <c r="AK359" t="s">
        <v>1073</v>
      </c>
      <c r="AL359" t="s">
        <v>1074</v>
      </c>
      <c r="AM359" t="s">
        <v>1481</v>
      </c>
      <c r="AN359">
        <v>0</v>
      </c>
      <c r="AO359">
        <v>-5</v>
      </c>
      <c r="AP359">
        <v>5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-5</v>
      </c>
      <c r="AX359">
        <v>5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-5</v>
      </c>
      <c r="BN359">
        <v>5</v>
      </c>
      <c r="BO359">
        <v>0</v>
      </c>
      <c r="BP359" t="s">
        <v>1073</v>
      </c>
    </row>
    <row r="360" spans="1:68" x14ac:dyDescent="0.35">
      <c r="A360" t="s">
        <v>1075</v>
      </c>
      <c r="B360">
        <v>40000000</v>
      </c>
      <c r="C360">
        <v>34849700</v>
      </c>
      <c r="D360">
        <v>0</v>
      </c>
      <c r="E360">
        <v>34849700</v>
      </c>
      <c r="F360">
        <v>5150300</v>
      </c>
      <c r="G360">
        <v>40000000</v>
      </c>
      <c r="H360">
        <v>34849700</v>
      </c>
      <c r="I360">
        <v>0</v>
      </c>
      <c r="J360">
        <v>34849700</v>
      </c>
      <c r="K360">
        <v>5150300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40000000</v>
      </c>
      <c r="AG360">
        <v>34849700</v>
      </c>
      <c r="AH360">
        <v>0</v>
      </c>
      <c r="AI360">
        <v>34849700</v>
      </c>
      <c r="AJ360">
        <v>5150300</v>
      </c>
      <c r="AK360" t="s">
        <v>1076</v>
      </c>
      <c r="AL360" t="s">
        <v>1077</v>
      </c>
      <c r="AM360" t="s">
        <v>1482</v>
      </c>
      <c r="AN360">
        <v>0</v>
      </c>
      <c r="AO360">
        <v>34849700</v>
      </c>
      <c r="AP360">
        <v>-34849700</v>
      </c>
      <c r="AQ360">
        <v>0</v>
      </c>
      <c r="AR360">
        <v>0</v>
      </c>
      <c r="AS360">
        <v>34849700</v>
      </c>
      <c r="AT360">
        <v>-34849700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34849700</v>
      </c>
      <c r="BN360">
        <v>-34849700</v>
      </c>
      <c r="BO360">
        <v>0</v>
      </c>
      <c r="BP360" t="s">
        <v>1076</v>
      </c>
    </row>
    <row r="361" spans="1:68" x14ac:dyDescent="0.35">
      <c r="A361" t="s">
        <v>1078</v>
      </c>
      <c r="B361">
        <v>6000000</v>
      </c>
      <c r="C361">
        <v>5273408.45</v>
      </c>
      <c r="D361">
        <v>661795.5</v>
      </c>
      <c r="E361">
        <v>5935203.9500000002</v>
      </c>
      <c r="F361">
        <v>64796.05</v>
      </c>
      <c r="G361">
        <v>6000000</v>
      </c>
      <c r="H361">
        <v>5277608.45</v>
      </c>
      <c r="I361">
        <v>661795.5</v>
      </c>
      <c r="J361">
        <v>5939403.9500000002</v>
      </c>
      <c r="K361">
        <v>60596.05</v>
      </c>
      <c r="L361">
        <v>0</v>
      </c>
      <c r="M361">
        <v>-4200</v>
      </c>
      <c r="N361">
        <v>0</v>
      </c>
      <c r="O361">
        <v>-4200</v>
      </c>
      <c r="P361">
        <v>4200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6000000</v>
      </c>
      <c r="AG361">
        <v>5273408.45</v>
      </c>
      <c r="AH361">
        <v>661795.5</v>
      </c>
      <c r="AI361">
        <v>5935203.9500000002</v>
      </c>
      <c r="AJ361">
        <v>64796.05</v>
      </c>
      <c r="AK361" t="s">
        <v>1079</v>
      </c>
      <c r="AL361" t="s">
        <v>1080</v>
      </c>
      <c r="AM361" t="s">
        <v>1483</v>
      </c>
      <c r="AN361">
        <v>0</v>
      </c>
      <c r="AO361">
        <v>5273408</v>
      </c>
      <c r="AP361">
        <v>-5273408</v>
      </c>
      <c r="AQ361">
        <v>0</v>
      </c>
      <c r="AR361">
        <v>0</v>
      </c>
      <c r="AS361">
        <v>5277608</v>
      </c>
      <c r="AT361">
        <v>-5277608</v>
      </c>
      <c r="AU361">
        <v>0</v>
      </c>
      <c r="AV361">
        <v>0</v>
      </c>
      <c r="AW361">
        <v>-4200</v>
      </c>
      <c r="AX361">
        <v>4200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5273408</v>
      </c>
      <c r="BN361">
        <v>-5273408</v>
      </c>
      <c r="BO361">
        <v>0</v>
      </c>
      <c r="BP361" t="s">
        <v>1079</v>
      </c>
    </row>
    <row r="362" spans="1:68" x14ac:dyDescent="0.35">
      <c r="A362" t="s">
        <v>1081</v>
      </c>
      <c r="B362">
        <v>6380000</v>
      </c>
      <c r="C362">
        <v>3796448</v>
      </c>
      <c r="D362">
        <v>1972000</v>
      </c>
      <c r="E362">
        <v>5768448</v>
      </c>
      <c r="F362">
        <v>611552</v>
      </c>
      <c r="G362">
        <v>6380000</v>
      </c>
      <c r="H362">
        <v>3796448</v>
      </c>
      <c r="I362">
        <v>1972000</v>
      </c>
      <c r="J362">
        <v>5768448</v>
      </c>
      <c r="K362">
        <v>611552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6380000</v>
      </c>
      <c r="AG362">
        <v>3796448</v>
      </c>
      <c r="AH362">
        <v>1972000</v>
      </c>
      <c r="AI362">
        <v>5768448</v>
      </c>
      <c r="AJ362">
        <v>611552</v>
      </c>
      <c r="AK362" t="s">
        <v>1082</v>
      </c>
      <c r="AL362" t="s">
        <v>1083</v>
      </c>
      <c r="AM362" t="s">
        <v>1484</v>
      </c>
      <c r="AN362">
        <v>0</v>
      </c>
      <c r="AO362">
        <v>3796448</v>
      </c>
      <c r="AP362">
        <v>-3796448</v>
      </c>
      <c r="AQ362">
        <v>0</v>
      </c>
      <c r="AR362">
        <v>0</v>
      </c>
      <c r="AS362">
        <v>3796448</v>
      </c>
      <c r="AT362">
        <v>-3796448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3796448</v>
      </c>
      <c r="BN362">
        <v>-3796448</v>
      </c>
      <c r="BO362">
        <v>0</v>
      </c>
      <c r="BP362" t="s">
        <v>1082</v>
      </c>
    </row>
    <row r="363" spans="1:68" x14ac:dyDescent="0.35">
      <c r="A363" t="s">
        <v>1084</v>
      </c>
      <c r="B363">
        <v>9182000</v>
      </c>
      <c r="C363">
        <v>9181534</v>
      </c>
      <c r="D363">
        <v>0</v>
      </c>
      <c r="E363">
        <v>9181534</v>
      </c>
      <c r="F363">
        <v>466</v>
      </c>
      <c r="G363">
        <v>9182000</v>
      </c>
      <c r="H363">
        <v>9181534</v>
      </c>
      <c r="I363">
        <v>0</v>
      </c>
      <c r="J363">
        <v>9181534</v>
      </c>
      <c r="K363">
        <v>466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9182000</v>
      </c>
      <c r="AG363">
        <v>9181534</v>
      </c>
      <c r="AH363">
        <v>0</v>
      </c>
      <c r="AI363">
        <v>9181534</v>
      </c>
      <c r="AJ363">
        <v>466</v>
      </c>
      <c r="AK363" t="s">
        <v>406</v>
      </c>
      <c r="AL363" t="s">
        <v>1085</v>
      </c>
      <c r="AM363" t="s">
        <v>1485</v>
      </c>
      <c r="AN363">
        <v>0</v>
      </c>
      <c r="AO363">
        <v>9181534</v>
      </c>
      <c r="AP363">
        <v>-9181534</v>
      </c>
      <c r="AQ363">
        <v>0</v>
      </c>
      <c r="AR363">
        <v>0</v>
      </c>
      <c r="AS363">
        <v>9181534</v>
      </c>
      <c r="AT363">
        <v>-9181534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9181534</v>
      </c>
      <c r="BN363">
        <v>-9181534</v>
      </c>
      <c r="BO363">
        <v>0</v>
      </c>
      <c r="BP363" t="s">
        <v>406</v>
      </c>
    </row>
    <row r="364" spans="1:68" x14ac:dyDescent="0.35">
      <c r="A364" t="s">
        <v>1086</v>
      </c>
      <c r="B364">
        <v>5200000</v>
      </c>
      <c r="C364">
        <v>3962794</v>
      </c>
      <c r="D364">
        <v>1180000</v>
      </c>
      <c r="E364">
        <v>5142794</v>
      </c>
      <c r="F364">
        <v>57206</v>
      </c>
      <c r="G364">
        <v>5200000</v>
      </c>
      <c r="H364">
        <v>3962794</v>
      </c>
      <c r="I364">
        <v>1180000</v>
      </c>
      <c r="J364">
        <v>5142794</v>
      </c>
      <c r="K364">
        <v>57206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5200000</v>
      </c>
      <c r="AG364">
        <v>3962794</v>
      </c>
      <c r="AH364">
        <v>1180000</v>
      </c>
      <c r="AI364">
        <v>5142794</v>
      </c>
      <c r="AJ364">
        <v>57206</v>
      </c>
      <c r="AK364" t="s">
        <v>1087</v>
      </c>
      <c r="AL364" t="s">
        <v>1088</v>
      </c>
      <c r="AM364" t="s">
        <v>1486</v>
      </c>
      <c r="AN364">
        <v>0</v>
      </c>
      <c r="AO364">
        <v>3962794</v>
      </c>
      <c r="AP364">
        <v>-3962794</v>
      </c>
      <c r="AQ364">
        <v>0</v>
      </c>
      <c r="AR364">
        <v>0</v>
      </c>
      <c r="AS364">
        <v>3962794</v>
      </c>
      <c r="AT364">
        <v>-3962794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3962794</v>
      </c>
      <c r="BN364">
        <v>-3962794</v>
      </c>
      <c r="BO364">
        <v>0</v>
      </c>
      <c r="BP364" t="s">
        <v>1087</v>
      </c>
    </row>
    <row r="365" spans="1:68" x14ac:dyDescent="0.35">
      <c r="A365" t="s">
        <v>1089</v>
      </c>
      <c r="B365">
        <v>1200000</v>
      </c>
      <c r="C365">
        <v>0</v>
      </c>
      <c r="D365">
        <v>0</v>
      </c>
      <c r="E365">
        <v>0</v>
      </c>
      <c r="F365">
        <v>1200000</v>
      </c>
      <c r="G365">
        <v>1200000</v>
      </c>
      <c r="H365">
        <v>0</v>
      </c>
      <c r="I365">
        <v>0</v>
      </c>
      <c r="J365">
        <v>0</v>
      </c>
      <c r="K365">
        <v>1200000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1200000</v>
      </c>
      <c r="AG365">
        <v>0</v>
      </c>
      <c r="AH365">
        <v>0</v>
      </c>
      <c r="AI365">
        <v>0</v>
      </c>
      <c r="AJ365">
        <v>1200000</v>
      </c>
      <c r="AK365" t="s">
        <v>1090</v>
      </c>
      <c r="AL365" t="s">
        <v>1091</v>
      </c>
    </row>
    <row r="366" spans="1:68" x14ac:dyDescent="0.35">
      <c r="A366" t="s">
        <v>1092</v>
      </c>
      <c r="B366">
        <v>1200000</v>
      </c>
      <c r="C366">
        <v>1072095.2</v>
      </c>
      <c r="D366">
        <v>0</v>
      </c>
      <c r="E366">
        <v>1072095.2</v>
      </c>
      <c r="F366">
        <v>127904.8</v>
      </c>
      <c r="G366">
        <v>1200000</v>
      </c>
      <c r="H366">
        <v>1072095.2</v>
      </c>
      <c r="I366">
        <v>0</v>
      </c>
      <c r="J366">
        <v>1072095.2</v>
      </c>
      <c r="K366">
        <v>127904.8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1200000</v>
      </c>
      <c r="AG366">
        <v>1072095.2</v>
      </c>
      <c r="AH366">
        <v>0</v>
      </c>
      <c r="AI366">
        <v>1072095.2</v>
      </c>
      <c r="AJ366">
        <v>127904.8</v>
      </c>
      <c r="AK366" t="s">
        <v>1093</v>
      </c>
      <c r="AL366" t="s">
        <v>1094</v>
      </c>
      <c r="AM366" t="s">
        <v>1487</v>
      </c>
      <c r="AN366">
        <v>0</v>
      </c>
      <c r="AO366">
        <v>1072095</v>
      </c>
      <c r="AP366">
        <v>-1072095</v>
      </c>
      <c r="AQ366">
        <v>0</v>
      </c>
      <c r="AR366">
        <v>0</v>
      </c>
      <c r="AS366">
        <v>1072095</v>
      </c>
      <c r="AT366">
        <v>-1072095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1072095</v>
      </c>
      <c r="BN366">
        <v>-1072095</v>
      </c>
      <c r="BO366">
        <v>0</v>
      </c>
      <c r="BP366" t="s">
        <v>1093</v>
      </c>
    </row>
    <row r="367" spans="1:68" x14ac:dyDescent="0.35">
      <c r="A367" t="s">
        <v>1095</v>
      </c>
      <c r="B367">
        <v>200000</v>
      </c>
      <c r="C367">
        <v>198023.62</v>
      </c>
      <c r="D367">
        <v>0</v>
      </c>
      <c r="E367">
        <v>198023.62</v>
      </c>
      <c r="F367">
        <v>1976.38</v>
      </c>
      <c r="G367">
        <v>200000</v>
      </c>
      <c r="H367">
        <v>198023.62</v>
      </c>
      <c r="I367">
        <v>0</v>
      </c>
      <c r="J367">
        <v>198023.62</v>
      </c>
      <c r="K367">
        <v>1976.38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200000</v>
      </c>
      <c r="AG367">
        <v>198023.62</v>
      </c>
      <c r="AH367">
        <v>0</v>
      </c>
      <c r="AI367">
        <v>198023.62</v>
      </c>
      <c r="AJ367">
        <v>1976.38</v>
      </c>
      <c r="AK367" t="s">
        <v>1096</v>
      </c>
      <c r="AL367" t="s">
        <v>1097</v>
      </c>
      <c r="AM367" t="s">
        <v>1488</v>
      </c>
      <c r="AN367">
        <v>0</v>
      </c>
      <c r="AO367">
        <v>198024</v>
      </c>
      <c r="AP367">
        <v>-198024</v>
      </c>
      <c r="AQ367">
        <v>0</v>
      </c>
      <c r="AR367">
        <v>0</v>
      </c>
      <c r="AS367">
        <v>198024</v>
      </c>
      <c r="AT367">
        <v>-198024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198024</v>
      </c>
      <c r="BN367">
        <v>-198024</v>
      </c>
      <c r="BO367">
        <v>0</v>
      </c>
      <c r="BP367" t="s">
        <v>1096</v>
      </c>
    </row>
    <row r="368" spans="1:68" x14ac:dyDescent="0.35">
      <c r="A368" t="s">
        <v>1098</v>
      </c>
      <c r="B368">
        <v>789728.9</v>
      </c>
      <c r="C368">
        <v>789728.9</v>
      </c>
      <c r="D368">
        <v>0</v>
      </c>
      <c r="E368">
        <v>789728.9</v>
      </c>
      <c r="F368">
        <v>0</v>
      </c>
      <c r="G368">
        <v>789728.9</v>
      </c>
      <c r="H368">
        <v>789728.9</v>
      </c>
      <c r="I368">
        <v>0</v>
      </c>
      <c r="J368">
        <v>789728.9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789728.9</v>
      </c>
      <c r="AG368">
        <v>789728.9</v>
      </c>
      <c r="AH368">
        <v>0</v>
      </c>
      <c r="AI368">
        <v>789728.9</v>
      </c>
      <c r="AJ368">
        <v>0</v>
      </c>
      <c r="AK368" t="s">
        <v>1099</v>
      </c>
      <c r="AL368" t="s">
        <v>1100</v>
      </c>
      <c r="AM368" t="s">
        <v>1489</v>
      </c>
      <c r="AN368">
        <v>0</v>
      </c>
      <c r="AO368">
        <v>789729</v>
      </c>
      <c r="AP368">
        <v>-789729</v>
      </c>
      <c r="AQ368">
        <v>0</v>
      </c>
      <c r="AR368">
        <v>0</v>
      </c>
      <c r="AS368">
        <v>789729</v>
      </c>
      <c r="AT368">
        <v>-789729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789729</v>
      </c>
      <c r="BN368">
        <v>-789729</v>
      </c>
      <c r="BO368">
        <v>0</v>
      </c>
      <c r="BP368" t="s">
        <v>1099</v>
      </c>
    </row>
    <row r="369" spans="1:68" x14ac:dyDescent="0.35">
      <c r="A369" t="s">
        <v>1101</v>
      </c>
      <c r="B369">
        <v>826202.01</v>
      </c>
      <c r="C369">
        <v>826202.01</v>
      </c>
      <c r="D369">
        <v>0</v>
      </c>
      <c r="E369">
        <v>826202.01</v>
      </c>
      <c r="F369">
        <v>0</v>
      </c>
      <c r="G369">
        <v>826202.01</v>
      </c>
      <c r="H369">
        <v>826202.01</v>
      </c>
      <c r="I369">
        <v>0</v>
      </c>
      <c r="J369">
        <v>826202.01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826202.01</v>
      </c>
      <c r="AG369">
        <v>826202.01</v>
      </c>
      <c r="AH369">
        <v>0</v>
      </c>
      <c r="AI369">
        <v>826202.01</v>
      </c>
      <c r="AJ369">
        <v>0</v>
      </c>
      <c r="AK369" t="s">
        <v>1102</v>
      </c>
      <c r="AL369" t="s">
        <v>1103</v>
      </c>
      <c r="AM369" t="s">
        <v>1490</v>
      </c>
      <c r="AN369">
        <v>0</v>
      </c>
      <c r="AO369">
        <v>826202</v>
      </c>
      <c r="AP369">
        <v>-826202</v>
      </c>
      <c r="AQ369">
        <v>0</v>
      </c>
      <c r="AR369">
        <v>0</v>
      </c>
      <c r="AS369">
        <v>826202</v>
      </c>
      <c r="AT369">
        <v>-826202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826202</v>
      </c>
      <c r="BN369">
        <v>-826202</v>
      </c>
      <c r="BO369">
        <v>0</v>
      </c>
      <c r="BP369" t="s">
        <v>1102</v>
      </c>
    </row>
    <row r="370" spans="1:68" x14ac:dyDescent="0.35">
      <c r="A370" t="s">
        <v>1104</v>
      </c>
      <c r="B370">
        <v>1180662.8999999999</v>
      </c>
      <c r="C370">
        <v>1180662.8999999999</v>
      </c>
      <c r="D370">
        <v>0</v>
      </c>
      <c r="E370">
        <v>1180662.8999999999</v>
      </c>
      <c r="F370">
        <v>0</v>
      </c>
      <c r="G370">
        <v>1180662.8999999999</v>
      </c>
      <c r="H370">
        <v>1180662.8999999999</v>
      </c>
      <c r="I370">
        <v>0</v>
      </c>
      <c r="J370">
        <v>1180662.8999999999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1180662.8999999999</v>
      </c>
      <c r="AG370">
        <v>1180662.8999999999</v>
      </c>
      <c r="AH370">
        <v>0</v>
      </c>
      <c r="AI370">
        <v>1180662.8999999999</v>
      </c>
      <c r="AJ370">
        <v>0</v>
      </c>
      <c r="AK370" t="s">
        <v>1105</v>
      </c>
      <c r="AL370" t="s">
        <v>1106</v>
      </c>
      <c r="AM370" t="s">
        <v>1491</v>
      </c>
      <c r="AN370">
        <v>0</v>
      </c>
      <c r="AO370">
        <v>1180663</v>
      </c>
      <c r="AP370">
        <v>-1180663</v>
      </c>
      <c r="AQ370">
        <v>0</v>
      </c>
      <c r="AR370">
        <v>0</v>
      </c>
      <c r="AS370">
        <v>1180663</v>
      </c>
      <c r="AT370">
        <v>-1180663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1180663</v>
      </c>
      <c r="BN370">
        <v>-1180663</v>
      </c>
      <c r="BO370">
        <v>0</v>
      </c>
      <c r="BP370" t="s">
        <v>1105</v>
      </c>
    </row>
    <row r="371" spans="1:68" x14ac:dyDescent="0.35">
      <c r="A371" t="s">
        <v>1107</v>
      </c>
      <c r="B371">
        <v>0</v>
      </c>
      <c r="C371">
        <v>960077.98</v>
      </c>
      <c r="D371">
        <v>0</v>
      </c>
      <c r="E371">
        <v>960077.98</v>
      </c>
      <c r="F371">
        <v>-960077.98</v>
      </c>
      <c r="G371">
        <v>0</v>
      </c>
      <c r="H371">
        <v>960077.98</v>
      </c>
      <c r="I371">
        <v>0</v>
      </c>
      <c r="J371">
        <v>960077.98</v>
      </c>
      <c r="K371">
        <v>-960077.98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960077.98</v>
      </c>
      <c r="AH371">
        <v>0</v>
      </c>
      <c r="AI371">
        <v>960077.98</v>
      </c>
      <c r="AJ371">
        <v>-960077.98</v>
      </c>
      <c r="AK371" t="s">
        <v>1108</v>
      </c>
      <c r="AL371" t="s">
        <v>1109</v>
      </c>
      <c r="AM371" t="s">
        <v>1492</v>
      </c>
      <c r="AN371">
        <v>0</v>
      </c>
      <c r="AO371">
        <v>960078</v>
      </c>
      <c r="AP371">
        <v>-960078</v>
      </c>
      <c r="AQ371">
        <v>0</v>
      </c>
      <c r="AR371">
        <v>0</v>
      </c>
      <c r="AS371">
        <v>960078</v>
      </c>
      <c r="AT371">
        <v>-960078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960078</v>
      </c>
      <c r="BN371">
        <v>-960078</v>
      </c>
      <c r="BO371">
        <v>0</v>
      </c>
      <c r="BP371" t="s">
        <v>1108</v>
      </c>
    </row>
    <row r="372" spans="1:68" x14ac:dyDescent="0.35">
      <c r="A372" t="s">
        <v>1110</v>
      </c>
      <c r="B372">
        <v>2225828.02</v>
      </c>
      <c r="C372">
        <v>2169484.36</v>
      </c>
      <c r="D372">
        <v>0</v>
      </c>
      <c r="E372">
        <v>2169484.36</v>
      </c>
      <c r="F372">
        <v>56343.66</v>
      </c>
      <c r="G372">
        <v>1125828.02</v>
      </c>
      <c r="H372">
        <v>1125828.02</v>
      </c>
      <c r="I372">
        <v>0</v>
      </c>
      <c r="J372">
        <v>1125828.02</v>
      </c>
      <c r="K372">
        <v>0</v>
      </c>
      <c r="L372">
        <v>1100000</v>
      </c>
      <c r="M372">
        <v>1043656.34</v>
      </c>
      <c r="N372">
        <v>0</v>
      </c>
      <c r="O372">
        <v>1043656.34</v>
      </c>
      <c r="P372">
        <v>56343.66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2225828.02</v>
      </c>
      <c r="AG372">
        <v>2169484.36</v>
      </c>
      <c r="AH372">
        <v>0</v>
      </c>
      <c r="AI372">
        <v>2169484.36</v>
      </c>
      <c r="AJ372">
        <v>56343.66</v>
      </c>
      <c r="AK372" t="s">
        <v>1111</v>
      </c>
      <c r="AL372" t="s">
        <v>1112</v>
      </c>
      <c r="AM372" t="s">
        <v>1493</v>
      </c>
      <c r="AN372">
        <v>0</v>
      </c>
      <c r="AO372">
        <v>2169484</v>
      </c>
      <c r="AP372">
        <v>-2169484</v>
      </c>
      <c r="AQ372">
        <v>0</v>
      </c>
      <c r="AR372">
        <v>0</v>
      </c>
      <c r="AS372">
        <v>1125828</v>
      </c>
      <c r="AT372">
        <v>-1125828</v>
      </c>
      <c r="AU372">
        <v>0</v>
      </c>
      <c r="AV372">
        <v>0</v>
      </c>
      <c r="AW372">
        <v>1043656</v>
      </c>
      <c r="AX372">
        <v>-1043656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2169484</v>
      </c>
      <c r="BN372">
        <v>-2169484</v>
      </c>
      <c r="BO372">
        <v>0</v>
      </c>
      <c r="BP372" t="s">
        <v>1111</v>
      </c>
    </row>
    <row r="373" spans="1:68" x14ac:dyDescent="0.35">
      <c r="A373" t="s">
        <v>1113</v>
      </c>
      <c r="B373">
        <v>0</v>
      </c>
      <c r="C373">
        <v>825642</v>
      </c>
      <c r="D373">
        <v>0</v>
      </c>
      <c r="E373">
        <v>825642</v>
      </c>
      <c r="F373">
        <v>-825642</v>
      </c>
      <c r="G373">
        <v>0</v>
      </c>
      <c r="H373">
        <v>825642</v>
      </c>
      <c r="I373">
        <v>0</v>
      </c>
      <c r="J373">
        <v>825642</v>
      </c>
      <c r="K373">
        <v>-825642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825642</v>
      </c>
      <c r="AH373">
        <v>0</v>
      </c>
      <c r="AI373">
        <v>825642</v>
      </c>
      <c r="AJ373">
        <v>-825642</v>
      </c>
      <c r="AK373" t="s">
        <v>1114</v>
      </c>
      <c r="AL373" t="s">
        <v>1115</v>
      </c>
      <c r="AM373" t="s">
        <v>1494</v>
      </c>
      <c r="AN373">
        <v>0</v>
      </c>
      <c r="AO373">
        <v>825642</v>
      </c>
      <c r="AP373">
        <v>-825642</v>
      </c>
      <c r="AQ373">
        <v>0</v>
      </c>
      <c r="AR373">
        <v>0</v>
      </c>
      <c r="AS373">
        <v>825642</v>
      </c>
      <c r="AT373">
        <v>-825642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825642</v>
      </c>
      <c r="BN373">
        <v>-825642</v>
      </c>
      <c r="BO373">
        <v>0</v>
      </c>
      <c r="BP373" t="s">
        <v>1114</v>
      </c>
    </row>
    <row r="374" spans="1:68" x14ac:dyDescent="0.35">
      <c r="A374" t="s">
        <v>1116</v>
      </c>
      <c r="B374">
        <v>1057087.73</v>
      </c>
      <c r="C374">
        <v>1056714.1100000001</v>
      </c>
      <c r="D374">
        <v>0</v>
      </c>
      <c r="E374">
        <v>1056714.1100000001</v>
      </c>
      <c r="F374">
        <v>373.62</v>
      </c>
      <c r="G374">
        <v>557087.73</v>
      </c>
      <c r="H374">
        <v>557087.73</v>
      </c>
      <c r="I374">
        <v>0</v>
      </c>
      <c r="J374">
        <v>557087.73</v>
      </c>
      <c r="K374">
        <v>0</v>
      </c>
      <c r="L374">
        <v>500000</v>
      </c>
      <c r="M374">
        <v>499626.38</v>
      </c>
      <c r="N374">
        <v>0</v>
      </c>
      <c r="O374">
        <v>499626.38</v>
      </c>
      <c r="P374">
        <v>373.62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1057087.73</v>
      </c>
      <c r="AG374">
        <v>1056714.1100000001</v>
      </c>
      <c r="AH374">
        <v>0</v>
      </c>
      <c r="AI374">
        <v>1056714.1100000001</v>
      </c>
      <c r="AJ374">
        <v>373.62</v>
      </c>
      <c r="AK374" t="s">
        <v>1117</v>
      </c>
      <c r="AL374" t="s">
        <v>1118</v>
      </c>
      <c r="AM374" t="s">
        <v>1495</v>
      </c>
      <c r="AN374">
        <v>0</v>
      </c>
      <c r="AO374">
        <v>1056714</v>
      </c>
      <c r="AP374">
        <v>-1056714</v>
      </c>
      <c r="AQ374">
        <v>0</v>
      </c>
      <c r="AR374">
        <v>0</v>
      </c>
      <c r="AS374">
        <v>557088</v>
      </c>
      <c r="AT374">
        <v>-557088</v>
      </c>
      <c r="AU374">
        <v>0</v>
      </c>
      <c r="AV374">
        <v>0</v>
      </c>
      <c r="AW374">
        <v>499626</v>
      </c>
      <c r="AX374">
        <v>-499626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1056714</v>
      </c>
      <c r="BN374">
        <v>-1056714</v>
      </c>
      <c r="BO374">
        <v>0</v>
      </c>
      <c r="BP374" t="s">
        <v>1117</v>
      </c>
    </row>
    <row r="375" spans="1:68" x14ac:dyDescent="0.35">
      <c r="A375" t="s">
        <v>1119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s">
        <v>1120</v>
      </c>
      <c r="AL375" t="s">
        <v>1121</v>
      </c>
    </row>
    <row r="376" spans="1:68" x14ac:dyDescent="0.35">
      <c r="A376" t="s">
        <v>1122</v>
      </c>
      <c r="B376">
        <v>1328000</v>
      </c>
      <c r="C376">
        <v>0</v>
      </c>
      <c r="D376">
        <v>314756.67</v>
      </c>
      <c r="E376">
        <v>314756.67</v>
      </c>
      <c r="F376">
        <v>1013243.33</v>
      </c>
      <c r="G376">
        <v>0</v>
      </c>
      <c r="H376">
        <v>0</v>
      </c>
      <c r="I376">
        <v>314756.67</v>
      </c>
      <c r="J376">
        <v>314756.67</v>
      </c>
      <c r="K376">
        <v>-314756.67</v>
      </c>
      <c r="L376">
        <v>1328000</v>
      </c>
      <c r="M376">
        <v>0</v>
      </c>
      <c r="N376">
        <v>0</v>
      </c>
      <c r="O376">
        <v>0</v>
      </c>
      <c r="P376">
        <v>1328000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1328000</v>
      </c>
      <c r="AG376">
        <v>0</v>
      </c>
      <c r="AH376">
        <v>314756.67</v>
      </c>
      <c r="AI376">
        <v>314756.67</v>
      </c>
      <c r="AJ376">
        <v>1013243.33</v>
      </c>
      <c r="AK376" t="s">
        <v>1123</v>
      </c>
      <c r="AL376" t="s">
        <v>1124</v>
      </c>
    </row>
    <row r="377" spans="1:68" x14ac:dyDescent="0.35">
      <c r="A377" t="s">
        <v>1125</v>
      </c>
      <c r="B377">
        <v>6000000</v>
      </c>
      <c r="C377">
        <v>6000000</v>
      </c>
      <c r="D377">
        <v>0</v>
      </c>
      <c r="E377">
        <v>6000000</v>
      </c>
      <c r="F377">
        <v>0</v>
      </c>
      <c r="G377">
        <v>6000000</v>
      </c>
      <c r="H377">
        <v>6000000</v>
      </c>
      <c r="I377">
        <v>0</v>
      </c>
      <c r="J377">
        <v>6000000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6000000</v>
      </c>
      <c r="AG377">
        <v>6000000</v>
      </c>
      <c r="AH377">
        <v>0</v>
      </c>
      <c r="AI377">
        <v>6000000</v>
      </c>
      <c r="AJ377">
        <v>0</v>
      </c>
      <c r="AK377" t="s">
        <v>1126</v>
      </c>
      <c r="AL377" t="s">
        <v>1127</v>
      </c>
      <c r="AM377" t="s">
        <v>1496</v>
      </c>
      <c r="AN377">
        <v>0</v>
      </c>
      <c r="AO377">
        <v>6000000</v>
      </c>
      <c r="AP377">
        <v>-6000000</v>
      </c>
      <c r="AQ377">
        <v>0</v>
      </c>
      <c r="AR377">
        <v>0</v>
      </c>
      <c r="AS377">
        <v>6000000</v>
      </c>
      <c r="AT377">
        <v>-6000000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6000000</v>
      </c>
      <c r="BN377">
        <v>-6000000</v>
      </c>
      <c r="BO377">
        <v>0</v>
      </c>
      <c r="BP377" t="s">
        <v>1126</v>
      </c>
    </row>
    <row r="378" spans="1:68" x14ac:dyDescent="0.35">
      <c r="A378" t="s">
        <v>1128</v>
      </c>
      <c r="B378">
        <v>2000000</v>
      </c>
      <c r="C378">
        <v>0</v>
      </c>
      <c r="D378">
        <v>0</v>
      </c>
      <c r="E378">
        <v>0</v>
      </c>
      <c r="F378">
        <v>2000000</v>
      </c>
      <c r="G378">
        <v>2000000</v>
      </c>
      <c r="H378">
        <v>0</v>
      </c>
      <c r="I378">
        <v>0</v>
      </c>
      <c r="J378">
        <v>0</v>
      </c>
      <c r="K378">
        <v>2000000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2000000</v>
      </c>
      <c r="AG378">
        <v>0</v>
      </c>
      <c r="AH378">
        <v>0</v>
      </c>
      <c r="AI378">
        <v>0</v>
      </c>
      <c r="AJ378">
        <v>2000000</v>
      </c>
      <c r="AK378" t="s">
        <v>1129</v>
      </c>
      <c r="AL378" t="s">
        <v>1130</v>
      </c>
    </row>
    <row r="379" spans="1:68" x14ac:dyDescent="0.35">
      <c r="A379" t="s">
        <v>1131</v>
      </c>
      <c r="B379">
        <v>5000000</v>
      </c>
      <c r="C379">
        <v>4862690.88</v>
      </c>
      <c r="D379">
        <v>0</v>
      </c>
      <c r="E379">
        <v>4862690.88</v>
      </c>
      <c r="F379">
        <v>137309.12</v>
      </c>
      <c r="G379">
        <v>5000000</v>
      </c>
      <c r="H379">
        <v>4862690.88</v>
      </c>
      <c r="I379">
        <v>0</v>
      </c>
      <c r="J379">
        <v>4862690.88</v>
      </c>
      <c r="K379">
        <v>137309.12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5000000</v>
      </c>
      <c r="AG379">
        <v>4862690.88</v>
      </c>
      <c r="AH379">
        <v>0</v>
      </c>
      <c r="AI379">
        <v>4862690.88</v>
      </c>
      <c r="AJ379">
        <v>137309.12</v>
      </c>
      <c r="AK379" t="s">
        <v>1132</v>
      </c>
      <c r="AL379" t="s">
        <v>1133</v>
      </c>
      <c r="AM379" t="s">
        <v>1497</v>
      </c>
      <c r="AN379">
        <v>0</v>
      </c>
      <c r="AO379">
        <v>4862691</v>
      </c>
      <c r="AP379">
        <v>-4862691</v>
      </c>
      <c r="AQ379">
        <v>0</v>
      </c>
      <c r="AR379">
        <v>0</v>
      </c>
      <c r="AS379">
        <v>4862691</v>
      </c>
      <c r="AT379">
        <v>-4862691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4862691</v>
      </c>
      <c r="BN379">
        <v>-4862691</v>
      </c>
      <c r="BO379">
        <v>0</v>
      </c>
      <c r="BP379" t="s">
        <v>1132</v>
      </c>
    </row>
    <row r="380" spans="1:68" x14ac:dyDescent="0.35">
      <c r="A380" t="s">
        <v>1134</v>
      </c>
      <c r="B380">
        <v>5000000</v>
      </c>
      <c r="C380">
        <v>0</v>
      </c>
      <c r="D380">
        <v>0</v>
      </c>
      <c r="E380">
        <v>0</v>
      </c>
      <c r="F380">
        <v>5000000</v>
      </c>
      <c r="G380">
        <v>5000000</v>
      </c>
      <c r="H380">
        <v>0</v>
      </c>
      <c r="I380">
        <v>0</v>
      </c>
      <c r="J380">
        <v>0</v>
      </c>
      <c r="K380">
        <v>5000000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5000000</v>
      </c>
      <c r="AG380">
        <v>0</v>
      </c>
      <c r="AH380">
        <v>0</v>
      </c>
      <c r="AI380">
        <v>0</v>
      </c>
      <c r="AJ380">
        <v>5000000</v>
      </c>
      <c r="AK380" t="s">
        <v>1135</v>
      </c>
      <c r="AL380" t="s">
        <v>1136</v>
      </c>
    </row>
    <row r="381" spans="1:68" x14ac:dyDescent="0.35">
      <c r="A381" t="s">
        <v>1137</v>
      </c>
      <c r="B381">
        <v>600000</v>
      </c>
      <c r="C381">
        <v>0</v>
      </c>
      <c r="D381">
        <v>0</v>
      </c>
      <c r="E381">
        <v>0</v>
      </c>
      <c r="F381">
        <v>600000</v>
      </c>
      <c r="G381">
        <v>600000</v>
      </c>
      <c r="H381">
        <v>0</v>
      </c>
      <c r="I381">
        <v>0</v>
      </c>
      <c r="J381">
        <v>0</v>
      </c>
      <c r="K381">
        <v>600000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600000</v>
      </c>
      <c r="AG381">
        <v>0</v>
      </c>
      <c r="AH381">
        <v>0</v>
      </c>
      <c r="AI381">
        <v>0</v>
      </c>
      <c r="AJ381">
        <v>600000</v>
      </c>
      <c r="AK381" t="s">
        <v>1138</v>
      </c>
      <c r="AL381" t="s">
        <v>1139</v>
      </c>
    </row>
    <row r="382" spans="1:68" x14ac:dyDescent="0.35">
      <c r="A382" t="s">
        <v>1140</v>
      </c>
      <c r="B382">
        <v>1500000</v>
      </c>
      <c r="C382">
        <v>1500000</v>
      </c>
      <c r="D382">
        <v>0</v>
      </c>
      <c r="E382">
        <v>1500000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1500000</v>
      </c>
      <c r="M382">
        <v>1500000</v>
      </c>
      <c r="N382">
        <v>0</v>
      </c>
      <c r="O382">
        <v>1500000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1500000</v>
      </c>
      <c r="AG382">
        <v>1500000</v>
      </c>
      <c r="AH382">
        <v>0</v>
      </c>
      <c r="AI382">
        <v>1500000</v>
      </c>
      <c r="AJ382">
        <v>0</v>
      </c>
      <c r="AK382" t="s">
        <v>1141</v>
      </c>
      <c r="AL382" t="s">
        <v>1142</v>
      </c>
      <c r="AM382" t="s">
        <v>1498</v>
      </c>
      <c r="AN382">
        <v>0</v>
      </c>
      <c r="AO382">
        <v>1500000</v>
      </c>
      <c r="AP382">
        <v>-1500000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1500000</v>
      </c>
      <c r="AX382">
        <v>-1500000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1500000</v>
      </c>
      <c r="BN382">
        <v>-1500000</v>
      </c>
      <c r="BO382">
        <v>0</v>
      </c>
      <c r="BP382" t="s">
        <v>1141</v>
      </c>
    </row>
    <row r="383" spans="1:68" x14ac:dyDescent="0.35">
      <c r="A383" t="s">
        <v>1143</v>
      </c>
      <c r="B383">
        <v>5000000</v>
      </c>
      <c r="C383">
        <v>4148296.51</v>
      </c>
      <c r="D383">
        <v>811521.88</v>
      </c>
      <c r="E383">
        <v>4959818.3899999997</v>
      </c>
      <c r="F383">
        <v>40181.61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5000000</v>
      </c>
      <c r="M383">
        <v>4148296.51</v>
      </c>
      <c r="N383">
        <v>811521.88</v>
      </c>
      <c r="O383">
        <v>4959818.3899999997</v>
      </c>
      <c r="P383">
        <v>40181.61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5000000</v>
      </c>
      <c r="AG383">
        <v>4148296.51</v>
      </c>
      <c r="AH383">
        <v>811521.88</v>
      </c>
      <c r="AI383">
        <v>4959818.3899999997</v>
      </c>
      <c r="AJ383">
        <v>40181.61</v>
      </c>
      <c r="AK383" t="s">
        <v>1144</v>
      </c>
      <c r="AL383" t="s">
        <v>1145</v>
      </c>
      <c r="AM383" t="s">
        <v>1499</v>
      </c>
      <c r="AN383">
        <v>0</v>
      </c>
      <c r="AO383">
        <v>4148297</v>
      </c>
      <c r="AP383">
        <v>-4148297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4148297</v>
      </c>
      <c r="AX383">
        <v>-4148297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4148297</v>
      </c>
      <c r="BN383">
        <v>-4148297</v>
      </c>
      <c r="BO383">
        <v>0</v>
      </c>
      <c r="BP383" t="s">
        <v>1144</v>
      </c>
    </row>
    <row r="384" spans="1:68" x14ac:dyDescent="0.35">
      <c r="A384" t="s">
        <v>1146</v>
      </c>
      <c r="B384">
        <v>200000</v>
      </c>
      <c r="C384">
        <v>200000</v>
      </c>
      <c r="D384">
        <v>0</v>
      </c>
      <c r="E384">
        <v>200000</v>
      </c>
      <c r="F384">
        <v>0</v>
      </c>
      <c r="G384">
        <v>200000</v>
      </c>
      <c r="H384">
        <v>200000</v>
      </c>
      <c r="I384">
        <v>0</v>
      </c>
      <c r="J384">
        <v>200000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200000</v>
      </c>
      <c r="AG384">
        <v>200000</v>
      </c>
      <c r="AH384">
        <v>0</v>
      </c>
      <c r="AI384">
        <v>200000</v>
      </c>
      <c r="AJ384">
        <v>0</v>
      </c>
      <c r="AK384" t="s">
        <v>1147</v>
      </c>
      <c r="AL384" t="s">
        <v>1148</v>
      </c>
      <c r="AM384" t="s">
        <v>1500</v>
      </c>
      <c r="AN384">
        <v>0</v>
      </c>
      <c r="AO384">
        <v>200000</v>
      </c>
      <c r="AP384">
        <v>-200000</v>
      </c>
      <c r="AQ384">
        <v>0</v>
      </c>
      <c r="AR384">
        <v>0</v>
      </c>
      <c r="AS384">
        <v>200000</v>
      </c>
      <c r="AT384">
        <v>-200000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200000</v>
      </c>
      <c r="BN384">
        <v>-200000</v>
      </c>
      <c r="BO384">
        <v>0</v>
      </c>
      <c r="BP384" t="s">
        <v>1147</v>
      </c>
    </row>
    <row r="385" spans="1:68" x14ac:dyDescent="0.35">
      <c r="A385" t="s">
        <v>1149</v>
      </c>
      <c r="B385">
        <v>500000</v>
      </c>
      <c r="C385">
        <v>500000</v>
      </c>
      <c r="D385">
        <v>0</v>
      </c>
      <c r="E385">
        <v>500000</v>
      </c>
      <c r="F385">
        <v>0</v>
      </c>
      <c r="G385">
        <v>500000</v>
      </c>
      <c r="H385">
        <v>500000</v>
      </c>
      <c r="I385">
        <v>0</v>
      </c>
      <c r="J385">
        <v>500000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500000</v>
      </c>
      <c r="AG385">
        <v>500000</v>
      </c>
      <c r="AH385">
        <v>0</v>
      </c>
      <c r="AI385">
        <v>500000</v>
      </c>
      <c r="AJ385">
        <v>0</v>
      </c>
      <c r="AK385" t="s">
        <v>1150</v>
      </c>
      <c r="AL385" t="s">
        <v>1151</v>
      </c>
      <c r="AM385" t="s">
        <v>1501</v>
      </c>
      <c r="AN385">
        <v>0</v>
      </c>
      <c r="AO385">
        <v>500000</v>
      </c>
      <c r="AP385">
        <v>-500000</v>
      </c>
      <c r="AQ385">
        <v>0</v>
      </c>
      <c r="AR385">
        <v>0</v>
      </c>
      <c r="AS385">
        <v>500000</v>
      </c>
      <c r="AT385">
        <v>-500000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500000</v>
      </c>
      <c r="BN385">
        <v>-500000</v>
      </c>
      <c r="BO385">
        <v>0</v>
      </c>
      <c r="BP385" t="s">
        <v>1150</v>
      </c>
    </row>
    <row r="386" spans="1:68" x14ac:dyDescent="0.35">
      <c r="A386" t="s">
        <v>1152</v>
      </c>
      <c r="B386">
        <v>1500000</v>
      </c>
      <c r="C386">
        <v>869922.97</v>
      </c>
      <c r="D386">
        <v>0</v>
      </c>
      <c r="E386">
        <v>869922.97</v>
      </c>
      <c r="F386">
        <v>630077.03</v>
      </c>
      <c r="G386">
        <v>1500000</v>
      </c>
      <c r="H386">
        <v>869922.97</v>
      </c>
      <c r="I386">
        <v>0</v>
      </c>
      <c r="J386">
        <v>869922.97</v>
      </c>
      <c r="K386">
        <v>630077.03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1500000</v>
      </c>
      <c r="AG386">
        <v>869922.97</v>
      </c>
      <c r="AH386">
        <v>0</v>
      </c>
      <c r="AI386">
        <v>869922.97</v>
      </c>
      <c r="AJ386">
        <v>630077.03</v>
      </c>
      <c r="AK386" t="s">
        <v>1153</v>
      </c>
      <c r="AL386" t="s">
        <v>1154</v>
      </c>
      <c r="AM386" t="s">
        <v>1502</v>
      </c>
      <c r="AN386">
        <v>0</v>
      </c>
      <c r="AO386">
        <v>869923</v>
      </c>
      <c r="AP386">
        <v>-869923</v>
      </c>
      <c r="AQ386">
        <v>0</v>
      </c>
      <c r="AR386">
        <v>0</v>
      </c>
      <c r="AS386">
        <v>869923</v>
      </c>
      <c r="AT386">
        <v>-869923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869923</v>
      </c>
      <c r="BN386">
        <v>-869923</v>
      </c>
      <c r="BO386">
        <v>0</v>
      </c>
      <c r="BP386" t="s">
        <v>1153</v>
      </c>
    </row>
    <row r="387" spans="1:68" x14ac:dyDescent="0.35">
      <c r="A387" t="s">
        <v>1155</v>
      </c>
      <c r="B387">
        <v>1500000</v>
      </c>
      <c r="C387">
        <v>1491674.29</v>
      </c>
      <c r="D387">
        <v>8185.66</v>
      </c>
      <c r="E387">
        <v>1499859.95</v>
      </c>
      <c r="F387">
        <v>140.05000000000001</v>
      </c>
      <c r="G387">
        <v>1500000</v>
      </c>
      <c r="H387">
        <v>1491674.29</v>
      </c>
      <c r="I387">
        <v>8185.66</v>
      </c>
      <c r="J387">
        <v>1499859.95</v>
      </c>
      <c r="K387">
        <v>140.05000000000001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1500000</v>
      </c>
      <c r="AG387">
        <v>1491674.29</v>
      </c>
      <c r="AH387">
        <v>8185.66</v>
      </c>
      <c r="AI387">
        <v>1499859.95</v>
      </c>
      <c r="AJ387">
        <v>140.05000000000001</v>
      </c>
      <c r="AK387" t="s">
        <v>1156</v>
      </c>
      <c r="AL387" t="s">
        <v>1157</v>
      </c>
      <c r="AM387" t="s">
        <v>1503</v>
      </c>
      <c r="AN387">
        <v>0</v>
      </c>
      <c r="AO387">
        <v>1491674</v>
      </c>
      <c r="AP387">
        <v>-1491674</v>
      </c>
      <c r="AQ387">
        <v>0</v>
      </c>
      <c r="AR387">
        <v>0</v>
      </c>
      <c r="AS387">
        <v>1491674</v>
      </c>
      <c r="AT387">
        <v>-1491674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1491674</v>
      </c>
      <c r="BN387">
        <v>-1491674</v>
      </c>
      <c r="BO387">
        <v>0</v>
      </c>
      <c r="BP387" t="s">
        <v>1156</v>
      </c>
    </row>
    <row r="388" spans="1:68" x14ac:dyDescent="0.35">
      <c r="A388" t="s">
        <v>1158</v>
      </c>
      <c r="B388">
        <v>2300000</v>
      </c>
      <c r="C388">
        <v>0</v>
      </c>
      <c r="D388">
        <v>0</v>
      </c>
      <c r="E388">
        <v>0</v>
      </c>
      <c r="F388">
        <v>2300000</v>
      </c>
      <c r="G388">
        <v>2300000</v>
      </c>
      <c r="H388">
        <v>0</v>
      </c>
      <c r="I388">
        <v>0</v>
      </c>
      <c r="J388">
        <v>0</v>
      </c>
      <c r="K388">
        <v>2300000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2300000</v>
      </c>
      <c r="AG388">
        <v>0</v>
      </c>
      <c r="AH388">
        <v>0</v>
      </c>
      <c r="AI388">
        <v>0</v>
      </c>
      <c r="AJ388">
        <v>2300000</v>
      </c>
      <c r="AK388" t="s">
        <v>1159</v>
      </c>
      <c r="AL388" t="s">
        <v>1160</v>
      </c>
    </row>
    <row r="389" spans="1:68" x14ac:dyDescent="0.35">
      <c r="A389" t="s">
        <v>1161</v>
      </c>
      <c r="B389">
        <v>2000000</v>
      </c>
      <c r="C389">
        <v>0</v>
      </c>
      <c r="D389">
        <v>1583196.95</v>
      </c>
      <c r="E389">
        <v>1583196.95</v>
      </c>
      <c r="F389">
        <v>416803.05</v>
      </c>
      <c r="G389">
        <v>2000000</v>
      </c>
      <c r="H389">
        <v>0</v>
      </c>
      <c r="I389">
        <v>1583196.95</v>
      </c>
      <c r="J389">
        <v>1583196.95</v>
      </c>
      <c r="K389">
        <v>416803.05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2000000</v>
      </c>
      <c r="AG389">
        <v>0</v>
      </c>
      <c r="AH389">
        <v>1583196.95</v>
      </c>
      <c r="AI389">
        <v>1583196.95</v>
      </c>
      <c r="AJ389">
        <v>416803.05</v>
      </c>
      <c r="AK389" t="s">
        <v>1162</v>
      </c>
      <c r="AL389" t="s">
        <v>1163</v>
      </c>
    </row>
    <row r="390" spans="1:68" x14ac:dyDescent="0.35">
      <c r="A390" t="s">
        <v>1164</v>
      </c>
      <c r="B390">
        <v>200000</v>
      </c>
      <c r="C390">
        <v>0</v>
      </c>
      <c r="D390">
        <v>0</v>
      </c>
      <c r="E390">
        <v>0</v>
      </c>
      <c r="F390">
        <v>200000</v>
      </c>
      <c r="G390">
        <v>200000</v>
      </c>
      <c r="H390">
        <v>0</v>
      </c>
      <c r="I390">
        <v>0</v>
      </c>
      <c r="J390">
        <v>0</v>
      </c>
      <c r="K390">
        <v>200000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200000</v>
      </c>
      <c r="AG390">
        <v>0</v>
      </c>
      <c r="AH390">
        <v>0</v>
      </c>
      <c r="AI390">
        <v>0</v>
      </c>
      <c r="AJ390">
        <v>200000</v>
      </c>
      <c r="AK390" t="s">
        <v>1165</v>
      </c>
      <c r="AL390" t="s">
        <v>1166</v>
      </c>
    </row>
    <row r="391" spans="1:68" x14ac:dyDescent="0.35">
      <c r="A391" t="s">
        <v>1167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s">
        <v>1168</v>
      </c>
      <c r="AL391" t="s">
        <v>1169</v>
      </c>
    </row>
    <row r="392" spans="1:68" x14ac:dyDescent="0.35">
      <c r="A392" t="s">
        <v>1170</v>
      </c>
      <c r="B392">
        <v>91000000</v>
      </c>
      <c r="C392">
        <v>90989393</v>
      </c>
      <c r="D392">
        <v>0</v>
      </c>
      <c r="E392">
        <v>90989393</v>
      </c>
      <c r="F392">
        <v>10607</v>
      </c>
      <c r="G392">
        <v>81900000</v>
      </c>
      <c r="H392">
        <v>81900000</v>
      </c>
      <c r="I392">
        <v>0</v>
      </c>
      <c r="J392">
        <v>81900000</v>
      </c>
      <c r="K392">
        <v>0</v>
      </c>
      <c r="L392">
        <v>9100000</v>
      </c>
      <c r="M392">
        <v>9089393</v>
      </c>
      <c r="N392">
        <v>0</v>
      </c>
      <c r="O392">
        <v>9089393</v>
      </c>
      <c r="P392">
        <v>10607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91000000</v>
      </c>
      <c r="AG392">
        <v>90989393</v>
      </c>
      <c r="AH392">
        <v>0</v>
      </c>
      <c r="AI392">
        <v>90989393</v>
      </c>
      <c r="AJ392">
        <v>10607</v>
      </c>
      <c r="AK392" t="s">
        <v>1171</v>
      </c>
      <c r="AL392" t="s">
        <v>1172</v>
      </c>
      <c r="AM392" t="s">
        <v>1504</v>
      </c>
      <c r="AN392">
        <v>0</v>
      </c>
      <c r="AO392">
        <v>90989393</v>
      </c>
      <c r="AP392">
        <v>-90989393</v>
      </c>
      <c r="AQ392">
        <v>0</v>
      </c>
      <c r="AR392">
        <v>0</v>
      </c>
      <c r="AS392">
        <v>81900000</v>
      </c>
      <c r="AT392">
        <v>-81900000</v>
      </c>
      <c r="AU392">
        <v>0</v>
      </c>
      <c r="AV392">
        <v>0</v>
      </c>
      <c r="AW392">
        <v>9089393</v>
      </c>
      <c r="AX392">
        <v>-9089393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90989393</v>
      </c>
      <c r="BN392">
        <v>-90989393</v>
      </c>
      <c r="BO392">
        <v>0</v>
      </c>
      <c r="BP392" t="s">
        <v>1171</v>
      </c>
    </row>
    <row r="393" spans="1:68" x14ac:dyDescent="0.35">
      <c r="A393" t="s">
        <v>1173</v>
      </c>
      <c r="B393">
        <v>93000000</v>
      </c>
      <c r="C393">
        <v>93000000</v>
      </c>
      <c r="D393">
        <v>0</v>
      </c>
      <c r="E393">
        <v>93000000</v>
      </c>
      <c r="F393">
        <v>0</v>
      </c>
      <c r="G393">
        <v>83700000</v>
      </c>
      <c r="H393">
        <v>83700000</v>
      </c>
      <c r="I393">
        <v>0</v>
      </c>
      <c r="J393">
        <v>83700000</v>
      </c>
      <c r="K393">
        <v>0</v>
      </c>
      <c r="L393">
        <v>9300000</v>
      </c>
      <c r="M393">
        <v>9300000</v>
      </c>
      <c r="N393">
        <v>0</v>
      </c>
      <c r="O393">
        <v>9300000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93000000</v>
      </c>
      <c r="AG393">
        <v>93000000</v>
      </c>
      <c r="AH393">
        <v>0</v>
      </c>
      <c r="AI393">
        <v>93000000</v>
      </c>
      <c r="AJ393">
        <v>0</v>
      </c>
      <c r="AK393" t="s">
        <v>1174</v>
      </c>
      <c r="AL393" t="s">
        <v>1175</v>
      </c>
      <c r="AM393" t="s">
        <v>1505</v>
      </c>
      <c r="AN393">
        <v>0</v>
      </c>
      <c r="AO393">
        <v>93000000</v>
      </c>
      <c r="AP393">
        <v>-93000000</v>
      </c>
      <c r="AQ393">
        <v>0</v>
      </c>
      <c r="AR393">
        <v>0</v>
      </c>
      <c r="AS393">
        <v>83700000</v>
      </c>
      <c r="AT393">
        <v>-83700000</v>
      </c>
      <c r="AU393">
        <v>0</v>
      </c>
      <c r="AV393">
        <v>0</v>
      </c>
      <c r="AW393">
        <v>9300000</v>
      </c>
      <c r="AX393">
        <v>-9300000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93000000</v>
      </c>
      <c r="BN393">
        <v>-93000000</v>
      </c>
      <c r="BO393">
        <v>0</v>
      </c>
      <c r="BP393" t="s">
        <v>1174</v>
      </c>
    </row>
    <row r="394" spans="1:68" x14ac:dyDescent="0.35">
      <c r="A394" t="s">
        <v>1176</v>
      </c>
      <c r="B394">
        <v>5000000</v>
      </c>
      <c r="C394">
        <v>4897722.09</v>
      </c>
      <c r="D394">
        <v>507547.04</v>
      </c>
      <c r="E394">
        <v>5405269.1299999999</v>
      </c>
      <c r="F394">
        <v>-405269.13</v>
      </c>
      <c r="G394">
        <v>0</v>
      </c>
      <c r="H394">
        <v>0</v>
      </c>
      <c r="I394">
        <v>507547.04</v>
      </c>
      <c r="J394">
        <v>507547.04</v>
      </c>
      <c r="K394">
        <v>-507547.04</v>
      </c>
      <c r="L394">
        <v>5000000</v>
      </c>
      <c r="M394">
        <v>4897722.09</v>
      </c>
      <c r="N394">
        <v>0</v>
      </c>
      <c r="O394">
        <v>4897722.09</v>
      </c>
      <c r="P394">
        <v>102277.91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5000000</v>
      </c>
      <c r="AG394">
        <v>4897722.09</v>
      </c>
      <c r="AH394">
        <v>507547.04</v>
      </c>
      <c r="AI394">
        <v>5405269.1299999999</v>
      </c>
      <c r="AJ394">
        <v>-405269.13</v>
      </c>
      <c r="AK394" t="s">
        <v>1177</v>
      </c>
      <c r="AL394" t="s">
        <v>1178</v>
      </c>
      <c r="AM394" t="s">
        <v>1506</v>
      </c>
      <c r="AN394">
        <v>0</v>
      </c>
      <c r="AO394">
        <v>4897722</v>
      </c>
      <c r="AP394">
        <v>-4897722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4897722</v>
      </c>
      <c r="AX394">
        <v>-4897722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4897722</v>
      </c>
      <c r="BN394">
        <v>-4897722</v>
      </c>
      <c r="BO394">
        <v>0</v>
      </c>
      <c r="BP394" t="s">
        <v>1177</v>
      </c>
    </row>
    <row r="395" spans="1:68" x14ac:dyDescent="0.35">
      <c r="A395" t="s">
        <v>1179</v>
      </c>
      <c r="B395">
        <v>5000000</v>
      </c>
      <c r="C395">
        <v>0</v>
      </c>
      <c r="D395">
        <v>0</v>
      </c>
      <c r="E395">
        <v>0</v>
      </c>
      <c r="F395">
        <v>5000000</v>
      </c>
      <c r="G395">
        <v>5000000</v>
      </c>
      <c r="H395">
        <v>0</v>
      </c>
      <c r="I395">
        <v>0</v>
      </c>
      <c r="J395">
        <v>0</v>
      </c>
      <c r="K395">
        <v>5000000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5000000</v>
      </c>
      <c r="AG395">
        <v>0</v>
      </c>
      <c r="AH395">
        <v>0</v>
      </c>
      <c r="AI395">
        <v>0</v>
      </c>
      <c r="AJ395">
        <v>5000000</v>
      </c>
      <c r="AK395" t="s">
        <v>1180</v>
      </c>
      <c r="AL395" t="s">
        <v>1181</v>
      </c>
    </row>
    <row r="396" spans="1:68" x14ac:dyDescent="0.35">
      <c r="A396" t="s">
        <v>1182</v>
      </c>
      <c r="B396">
        <v>969881000</v>
      </c>
      <c r="C396">
        <v>224687222.16999999</v>
      </c>
      <c r="D396">
        <v>342608538.39999998</v>
      </c>
      <c r="E396">
        <v>567295760.57000005</v>
      </c>
      <c r="F396">
        <v>402585239.43000001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969881000</v>
      </c>
      <c r="M396">
        <v>224687222.16999999</v>
      </c>
      <c r="N396">
        <v>342608538.39999998</v>
      </c>
      <c r="O396">
        <v>567295760.57000005</v>
      </c>
      <c r="P396">
        <v>402585239.43000001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969881000</v>
      </c>
      <c r="AG396">
        <v>224687222.16999999</v>
      </c>
      <c r="AH396">
        <v>342608538.39999998</v>
      </c>
      <c r="AI396">
        <v>567295760.57000005</v>
      </c>
      <c r="AJ396">
        <v>402585239.43000001</v>
      </c>
      <c r="AK396" t="s">
        <v>1183</v>
      </c>
      <c r="AL396" t="s">
        <v>1184</v>
      </c>
      <c r="AM396" t="s">
        <v>1507</v>
      </c>
      <c r="AN396">
        <v>0</v>
      </c>
      <c r="AO396">
        <v>224687222</v>
      </c>
      <c r="AP396">
        <v>-224687222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224687222</v>
      </c>
      <c r="AX396">
        <v>-224687222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224687222</v>
      </c>
      <c r="BN396">
        <v>-224687222</v>
      </c>
      <c r="BO396">
        <v>0</v>
      </c>
      <c r="BP396" t="s">
        <v>1183</v>
      </c>
    </row>
    <row r="397" spans="1:68" x14ac:dyDescent="0.35">
      <c r="A397" t="s">
        <v>1185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s">
        <v>1186</v>
      </c>
      <c r="AL397" t="s">
        <v>1187</v>
      </c>
    </row>
    <row r="398" spans="1:68" x14ac:dyDescent="0.35">
      <c r="A398" t="s">
        <v>1188</v>
      </c>
      <c r="B398">
        <v>12740900000</v>
      </c>
      <c r="C398">
        <v>1303679061.74</v>
      </c>
      <c r="D398">
        <v>1924023689.77</v>
      </c>
      <c r="E398">
        <v>3227702751.5100002</v>
      </c>
      <c r="F398">
        <v>9513197248.4899998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12740900000</v>
      </c>
      <c r="M398">
        <v>1303679061.74</v>
      </c>
      <c r="N398">
        <v>773925281.00999999</v>
      </c>
      <c r="O398">
        <v>2077604342.75</v>
      </c>
      <c r="P398">
        <v>10663295657.25</v>
      </c>
      <c r="Q398">
        <v>0</v>
      </c>
      <c r="R398">
        <v>0</v>
      </c>
      <c r="S398">
        <v>1150098408.76</v>
      </c>
      <c r="T398">
        <v>1150098408.76</v>
      </c>
      <c r="U398">
        <v>-1150098408.76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12740900000</v>
      </c>
      <c r="AG398">
        <v>1303679061.74</v>
      </c>
      <c r="AH398">
        <v>1924023689.77</v>
      </c>
      <c r="AI398">
        <v>3227702751.5100002</v>
      </c>
      <c r="AJ398">
        <v>9513197248.4899998</v>
      </c>
      <c r="AK398" t="s">
        <v>1189</v>
      </c>
      <c r="AL398" t="s">
        <v>1190</v>
      </c>
      <c r="AM398" t="s">
        <v>1508</v>
      </c>
      <c r="AN398">
        <v>0</v>
      </c>
      <c r="AO398">
        <v>1303679062</v>
      </c>
      <c r="AP398">
        <v>-1303679062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1303679062</v>
      </c>
      <c r="AX398">
        <v>-1303679062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1303679062</v>
      </c>
      <c r="BN398">
        <v>-1303679062</v>
      </c>
      <c r="BO398">
        <v>0</v>
      </c>
      <c r="BP398" t="s">
        <v>1189</v>
      </c>
    </row>
    <row r="399" spans="1:68" x14ac:dyDescent="0.35">
      <c r="A399" t="s">
        <v>1191</v>
      </c>
      <c r="B399">
        <v>45130153.020000003</v>
      </c>
      <c r="C399">
        <v>15493559.98</v>
      </c>
      <c r="D399">
        <v>28806844.780000001</v>
      </c>
      <c r="E399">
        <v>44300404.759999998</v>
      </c>
      <c r="F399">
        <v>829748.26</v>
      </c>
      <c r="G399">
        <v>15344759.98</v>
      </c>
      <c r="H399">
        <v>15344759.98</v>
      </c>
      <c r="I399">
        <v>0</v>
      </c>
      <c r="J399">
        <v>15344759.98</v>
      </c>
      <c r="K399">
        <v>0</v>
      </c>
      <c r="L399">
        <v>29785393.039999999</v>
      </c>
      <c r="M399">
        <v>148800</v>
      </c>
      <c r="N399">
        <v>28806844.780000001</v>
      </c>
      <c r="O399">
        <v>28955644.780000001</v>
      </c>
      <c r="P399">
        <v>829748.26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45130153.020000003</v>
      </c>
      <c r="AG399">
        <v>15493559.98</v>
      </c>
      <c r="AH399">
        <v>28806844.780000001</v>
      </c>
      <c r="AI399">
        <v>44300404.759999998</v>
      </c>
      <c r="AJ399">
        <v>829748.26</v>
      </c>
      <c r="AK399" t="s">
        <v>1192</v>
      </c>
      <c r="AL399" t="s">
        <v>1193</v>
      </c>
      <c r="AM399" t="s">
        <v>1509</v>
      </c>
      <c r="AN399">
        <v>0</v>
      </c>
      <c r="AO399">
        <v>15493560</v>
      </c>
      <c r="AP399">
        <v>-15493560</v>
      </c>
      <c r="AQ399">
        <v>0</v>
      </c>
      <c r="AR399">
        <v>0</v>
      </c>
      <c r="AS399">
        <v>15344760</v>
      </c>
      <c r="AT399">
        <v>-15344760</v>
      </c>
      <c r="AU399">
        <v>0</v>
      </c>
      <c r="AV399">
        <v>0</v>
      </c>
      <c r="AW399">
        <v>148800</v>
      </c>
      <c r="AX399">
        <v>-148800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15493560</v>
      </c>
      <c r="BN399">
        <v>-15493560</v>
      </c>
      <c r="BO399">
        <v>0</v>
      </c>
      <c r="BP399" t="s">
        <v>1192</v>
      </c>
    </row>
    <row r="400" spans="1:68" x14ac:dyDescent="0.35">
      <c r="A400" t="s">
        <v>1194</v>
      </c>
      <c r="B400">
        <v>9744671085</v>
      </c>
      <c r="C400">
        <v>6526476624.0299997</v>
      </c>
      <c r="D400">
        <v>2992846173.2800002</v>
      </c>
      <c r="E400">
        <v>9519322797.3099995</v>
      </c>
      <c r="F400">
        <v>225348287.69</v>
      </c>
      <c r="G400">
        <v>4646818255.5600004</v>
      </c>
      <c r="H400">
        <v>4646818255.5600004</v>
      </c>
      <c r="I400">
        <v>264414074.15000001</v>
      </c>
      <c r="J400">
        <v>4911232329.71</v>
      </c>
      <c r="K400">
        <v>-264414074.15000001</v>
      </c>
      <c r="L400">
        <v>5097852829.4399996</v>
      </c>
      <c r="M400">
        <v>1879658368.47</v>
      </c>
      <c r="N400">
        <v>2707394590.8299999</v>
      </c>
      <c r="O400">
        <v>4587052959.3000002</v>
      </c>
      <c r="P400">
        <v>510799870.13999999</v>
      </c>
      <c r="Q400">
        <v>0</v>
      </c>
      <c r="R400">
        <v>0</v>
      </c>
      <c r="S400">
        <v>21037508.300000001</v>
      </c>
      <c r="T400">
        <v>21037508.300000001</v>
      </c>
      <c r="U400">
        <v>-21037508.300000001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9744671085</v>
      </c>
      <c r="AG400">
        <v>6526476624.0299997</v>
      </c>
      <c r="AH400">
        <v>2992846173.2800002</v>
      </c>
      <c r="AI400">
        <v>9519322797.3099995</v>
      </c>
      <c r="AJ400">
        <v>225348287.69</v>
      </c>
      <c r="AK400" t="s">
        <v>1195</v>
      </c>
      <c r="AL400" t="s">
        <v>1196</v>
      </c>
      <c r="AM400" t="s">
        <v>1510</v>
      </c>
      <c r="AN400">
        <v>0</v>
      </c>
      <c r="AO400">
        <v>6526476624</v>
      </c>
      <c r="AP400">
        <v>-6526476624</v>
      </c>
      <c r="AQ400">
        <v>0</v>
      </c>
      <c r="AR400">
        <v>0</v>
      </c>
      <c r="AS400">
        <v>4646818256</v>
      </c>
      <c r="AT400">
        <v>-4646818256</v>
      </c>
      <c r="AU400">
        <v>0</v>
      </c>
      <c r="AV400">
        <v>0</v>
      </c>
      <c r="AW400">
        <v>1879658368</v>
      </c>
      <c r="AX400">
        <v>-1879658368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7668252769</v>
      </c>
      <c r="BM400">
        <v>6526476624</v>
      </c>
      <c r="BN400">
        <v>1141776145</v>
      </c>
      <c r="BO400">
        <v>14.9</v>
      </c>
      <c r="BP400" t="s">
        <v>1195</v>
      </c>
    </row>
    <row r="401" spans="1:68" x14ac:dyDescent="0.35">
      <c r="A401" t="s">
        <v>1197</v>
      </c>
      <c r="B401">
        <v>348260409.52999997</v>
      </c>
      <c r="C401">
        <v>268408050.47999999</v>
      </c>
      <c r="D401">
        <v>54113019.979999997</v>
      </c>
      <c r="E401">
        <v>322521070.45999998</v>
      </c>
      <c r="F401">
        <v>25739339.07</v>
      </c>
      <c r="G401">
        <v>45028990.100000001</v>
      </c>
      <c r="H401">
        <v>45028990.100000001</v>
      </c>
      <c r="I401">
        <v>1978415.26</v>
      </c>
      <c r="J401">
        <v>47007405.359999999</v>
      </c>
      <c r="K401">
        <v>-1978415.26</v>
      </c>
      <c r="L401">
        <v>303231419.43000001</v>
      </c>
      <c r="M401">
        <v>223379060.38</v>
      </c>
      <c r="N401">
        <v>37831745.609999999</v>
      </c>
      <c r="O401">
        <v>261210805.99000001</v>
      </c>
      <c r="P401">
        <v>42020613.439999998</v>
      </c>
      <c r="Q401">
        <v>0</v>
      </c>
      <c r="R401">
        <v>0</v>
      </c>
      <c r="S401">
        <v>14302859.109999999</v>
      </c>
      <c r="T401">
        <v>14302859.109999999</v>
      </c>
      <c r="U401">
        <v>-14302859.109999999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348260409.52999997</v>
      </c>
      <c r="AG401">
        <v>268408050.47999999</v>
      </c>
      <c r="AH401">
        <v>54113019.979999997</v>
      </c>
      <c r="AI401">
        <v>322521070.45999998</v>
      </c>
      <c r="AJ401">
        <v>25739339.07</v>
      </c>
      <c r="AK401" t="s">
        <v>1198</v>
      </c>
      <c r="AL401" t="s">
        <v>1199</v>
      </c>
      <c r="AM401" t="s">
        <v>1511</v>
      </c>
      <c r="AN401">
        <v>0</v>
      </c>
      <c r="AO401">
        <v>268408050</v>
      </c>
      <c r="AP401">
        <v>-268408050</v>
      </c>
      <c r="AQ401">
        <v>0</v>
      </c>
      <c r="AR401">
        <v>0</v>
      </c>
      <c r="AS401">
        <v>45028990</v>
      </c>
      <c r="AT401">
        <v>-45028990</v>
      </c>
      <c r="AU401">
        <v>0</v>
      </c>
      <c r="AV401">
        <v>0</v>
      </c>
      <c r="AW401">
        <v>223379060</v>
      </c>
      <c r="AX401">
        <v>-223379060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268408050</v>
      </c>
      <c r="BN401">
        <v>-268408050</v>
      </c>
      <c r="BO401">
        <v>0</v>
      </c>
      <c r="BP401" t="s">
        <v>1198</v>
      </c>
    </row>
    <row r="402" spans="1:68" x14ac:dyDescent="0.35">
      <c r="A402" t="s">
        <v>1200</v>
      </c>
      <c r="B402">
        <v>1472201579.6400001</v>
      </c>
      <c r="C402">
        <v>791471113.07000005</v>
      </c>
      <c r="D402">
        <v>398754845.19</v>
      </c>
      <c r="E402">
        <v>1190225958.26</v>
      </c>
      <c r="F402">
        <v>281975621.38</v>
      </c>
      <c r="G402">
        <v>545685204.85000002</v>
      </c>
      <c r="H402">
        <v>535545203.29000002</v>
      </c>
      <c r="I402">
        <v>144394637.40000001</v>
      </c>
      <c r="J402">
        <v>679939840.69000006</v>
      </c>
      <c r="K402">
        <v>-134254635.84</v>
      </c>
      <c r="L402">
        <v>926516374.78999996</v>
      </c>
      <c r="M402">
        <v>255925909.78</v>
      </c>
      <c r="N402">
        <v>232798268.22</v>
      </c>
      <c r="O402">
        <v>488724178</v>
      </c>
      <c r="P402">
        <v>437792196.79000002</v>
      </c>
      <c r="Q402">
        <v>0</v>
      </c>
      <c r="R402">
        <v>0</v>
      </c>
      <c r="S402">
        <v>21561939.57</v>
      </c>
      <c r="T402">
        <v>21561939.57</v>
      </c>
      <c r="U402">
        <v>-21561939.57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1472281953.6400001</v>
      </c>
      <c r="AG402">
        <v>791471113.07000005</v>
      </c>
      <c r="AH402">
        <v>398754845.19</v>
      </c>
      <c r="AI402">
        <v>1190225958.26</v>
      </c>
      <c r="AJ402">
        <v>282055995.38</v>
      </c>
      <c r="AK402" t="s">
        <v>1201</v>
      </c>
      <c r="AL402" t="s">
        <v>1202</v>
      </c>
      <c r="AM402" t="s">
        <v>1512</v>
      </c>
      <c r="AN402">
        <v>1002175000</v>
      </c>
      <c r="AO402">
        <v>791471113</v>
      </c>
      <c r="AP402">
        <v>210703887</v>
      </c>
      <c r="AQ402">
        <v>21</v>
      </c>
      <c r="AR402">
        <v>1002175000</v>
      </c>
      <c r="AS402">
        <v>535545203</v>
      </c>
      <c r="AT402">
        <v>466629797</v>
      </c>
      <c r="AU402">
        <v>46.6</v>
      </c>
      <c r="AV402">
        <v>0</v>
      </c>
      <c r="AW402">
        <v>255925910</v>
      </c>
      <c r="AX402">
        <v>-255925910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1002175000</v>
      </c>
      <c r="BM402">
        <v>791471113</v>
      </c>
      <c r="BN402">
        <v>210703887</v>
      </c>
      <c r="BO402">
        <v>21</v>
      </c>
      <c r="BP402" t="s">
        <v>1201</v>
      </c>
    </row>
    <row r="403" spans="1:68" x14ac:dyDescent="0.35">
      <c r="A403" t="s">
        <v>1203</v>
      </c>
      <c r="B403">
        <v>79453010.230000004</v>
      </c>
      <c r="C403">
        <v>71371791.25</v>
      </c>
      <c r="D403">
        <v>6667119.0800000001</v>
      </c>
      <c r="E403">
        <v>78038910.329999998</v>
      </c>
      <c r="F403">
        <v>1414099.9</v>
      </c>
      <c r="G403">
        <v>71571211.25</v>
      </c>
      <c r="H403">
        <v>71371791.25</v>
      </c>
      <c r="I403">
        <v>0</v>
      </c>
      <c r="J403">
        <v>71371791.25</v>
      </c>
      <c r="K403">
        <v>199420</v>
      </c>
      <c r="L403">
        <v>7881798.9800000004</v>
      </c>
      <c r="M403">
        <v>0</v>
      </c>
      <c r="N403">
        <v>6667119.0800000001</v>
      </c>
      <c r="O403">
        <v>6667119.0800000001</v>
      </c>
      <c r="P403">
        <v>1214679.8999999999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79453010.230000004</v>
      </c>
      <c r="AG403">
        <v>71371791.25</v>
      </c>
      <c r="AH403">
        <v>6667119.0800000001</v>
      </c>
      <c r="AI403">
        <v>78038910.329999998</v>
      </c>
      <c r="AJ403">
        <v>1414099.9</v>
      </c>
      <c r="AK403" t="s">
        <v>1204</v>
      </c>
      <c r="AL403" t="s">
        <v>1205</v>
      </c>
      <c r="AM403" t="s">
        <v>1513</v>
      </c>
      <c r="AN403">
        <v>0</v>
      </c>
      <c r="AO403">
        <v>71371791</v>
      </c>
      <c r="AP403">
        <v>-71371791</v>
      </c>
      <c r="AQ403">
        <v>0</v>
      </c>
      <c r="AR403">
        <v>0</v>
      </c>
      <c r="AS403">
        <v>71371791</v>
      </c>
      <c r="AT403">
        <v>-71371791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71371791</v>
      </c>
      <c r="BN403">
        <v>-71371791</v>
      </c>
      <c r="BO403">
        <v>0</v>
      </c>
      <c r="BP403" t="s">
        <v>1204</v>
      </c>
    </row>
    <row r="404" spans="1:68" x14ac:dyDescent="0.35">
      <c r="A404" t="s">
        <v>1206</v>
      </c>
      <c r="B404">
        <v>17143394</v>
      </c>
      <c r="C404">
        <v>6059090.3499999996</v>
      </c>
      <c r="D404">
        <v>0</v>
      </c>
      <c r="E404">
        <v>6059090.3499999996</v>
      </c>
      <c r="F404">
        <v>11084303.65</v>
      </c>
      <c r="G404">
        <v>17143394</v>
      </c>
      <c r="H404">
        <v>6059090.3499999996</v>
      </c>
      <c r="I404">
        <v>0</v>
      </c>
      <c r="J404">
        <v>6059090.3499999996</v>
      </c>
      <c r="K404">
        <v>11084303.65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17143394</v>
      </c>
      <c r="AG404">
        <v>6059090.3499999996</v>
      </c>
      <c r="AH404">
        <v>0</v>
      </c>
      <c r="AI404">
        <v>6059090.3499999996</v>
      </c>
      <c r="AJ404">
        <v>11084303.65</v>
      </c>
      <c r="AK404" t="s">
        <v>1201</v>
      </c>
      <c r="AL404" t="s">
        <v>1207</v>
      </c>
      <c r="AM404" t="s">
        <v>1514</v>
      </c>
      <c r="AN404">
        <v>0</v>
      </c>
      <c r="AO404">
        <v>6059090</v>
      </c>
      <c r="AP404">
        <v>-6059090</v>
      </c>
      <c r="AQ404">
        <v>0</v>
      </c>
      <c r="AR404">
        <v>0</v>
      </c>
      <c r="AS404">
        <v>6059090</v>
      </c>
      <c r="AT404">
        <v>-6059090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6059090</v>
      </c>
      <c r="BN404">
        <v>-6059090</v>
      </c>
      <c r="BO404">
        <v>0</v>
      </c>
      <c r="BP404" t="s">
        <v>1201</v>
      </c>
    </row>
    <row r="405" spans="1:68" x14ac:dyDescent="0.35">
      <c r="A405" t="s">
        <v>1208</v>
      </c>
      <c r="B405">
        <v>2121388.29</v>
      </c>
      <c r="C405">
        <v>2121388.29</v>
      </c>
      <c r="D405">
        <v>0</v>
      </c>
      <c r="E405">
        <v>2121388.29</v>
      </c>
      <c r="F405">
        <v>0</v>
      </c>
      <c r="G405">
        <v>2121388.29</v>
      </c>
      <c r="H405">
        <v>2121388.29</v>
      </c>
      <c r="I405">
        <v>0</v>
      </c>
      <c r="J405">
        <v>2121388.29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2121388.29</v>
      </c>
      <c r="AG405">
        <v>2121388.29</v>
      </c>
      <c r="AH405">
        <v>0</v>
      </c>
      <c r="AI405">
        <v>2121388.29</v>
      </c>
      <c r="AJ405">
        <v>0</v>
      </c>
      <c r="AK405" t="s">
        <v>1201</v>
      </c>
      <c r="AL405" t="s">
        <v>1209</v>
      </c>
      <c r="AM405" t="s">
        <v>1515</v>
      </c>
      <c r="AN405">
        <v>0</v>
      </c>
      <c r="AO405">
        <v>2121388</v>
      </c>
      <c r="AP405">
        <v>-2121388</v>
      </c>
      <c r="AQ405">
        <v>0</v>
      </c>
      <c r="AR405">
        <v>0</v>
      </c>
      <c r="AS405">
        <v>2121388</v>
      </c>
      <c r="AT405">
        <v>-2121388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2121388</v>
      </c>
      <c r="BN405">
        <v>-2121388</v>
      </c>
      <c r="BO405">
        <v>0</v>
      </c>
      <c r="BP405" t="s">
        <v>1201</v>
      </c>
    </row>
    <row r="406" spans="1:68" x14ac:dyDescent="0.35">
      <c r="A406" t="s">
        <v>1210</v>
      </c>
      <c r="B406">
        <v>15732155.560000001</v>
      </c>
      <c r="C406">
        <v>7589736.9100000001</v>
      </c>
      <c r="D406">
        <v>0</v>
      </c>
      <c r="E406">
        <v>7589736.9100000001</v>
      </c>
      <c r="F406">
        <v>8142418.6500000004</v>
      </c>
      <c r="G406">
        <v>15732155.560000001</v>
      </c>
      <c r="H406">
        <v>7589736.9100000001</v>
      </c>
      <c r="I406">
        <v>0</v>
      </c>
      <c r="J406">
        <v>7589736.9100000001</v>
      </c>
      <c r="K406">
        <v>8142418.6500000004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15732155.560000001</v>
      </c>
      <c r="AG406">
        <v>7589736.9100000001</v>
      </c>
      <c r="AH406">
        <v>0</v>
      </c>
      <c r="AI406">
        <v>7589736.9100000001</v>
      </c>
      <c r="AJ406">
        <v>8142418.6500000004</v>
      </c>
      <c r="AK406" t="s">
        <v>1201</v>
      </c>
      <c r="AL406" t="s">
        <v>1211</v>
      </c>
      <c r="AM406" t="s">
        <v>1516</v>
      </c>
      <c r="AN406">
        <v>0</v>
      </c>
      <c r="AO406">
        <v>7589737</v>
      </c>
      <c r="AP406">
        <v>-7589737</v>
      </c>
      <c r="AQ406">
        <v>0</v>
      </c>
      <c r="AR406">
        <v>0</v>
      </c>
      <c r="AS406">
        <v>7589737</v>
      </c>
      <c r="AT406">
        <v>-7589737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7589737</v>
      </c>
      <c r="BN406">
        <v>-7589737</v>
      </c>
      <c r="BO406">
        <v>0</v>
      </c>
      <c r="BP406" t="s">
        <v>1201</v>
      </c>
    </row>
    <row r="407" spans="1:68" x14ac:dyDescent="0.35">
      <c r="A407" t="s">
        <v>1212</v>
      </c>
      <c r="B407">
        <v>200677379</v>
      </c>
      <c r="C407">
        <v>0</v>
      </c>
      <c r="D407">
        <v>0</v>
      </c>
      <c r="E407">
        <v>0</v>
      </c>
      <c r="F407">
        <v>200677379</v>
      </c>
      <c r="G407">
        <v>200677379</v>
      </c>
      <c r="H407">
        <v>0</v>
      </c>
      <c r="I407">
        <v>0</v>
      </c>
      <c r="J407">
        <v>0</v>
      </c>
      <c r="K407">
        <v>200677379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200677379</v>
      </c>
      <c r="AG407">
        <v>0</v>
      </c>
      <c r="AH407">
        <v>0</v>
      </c>
      <c r="AI407">
        <v>0</v>
      </c>
      <c r="AJ407">
        <v>200677379</v>
      </c>
      <c r="AK407" t="s">
        <v>1213</v>
      </c>
      <c r="AL407" t="s">
        <v>1214</v>
      </c>
      <c r="AM407" t="s">
        <v>1517</v>
      </c>
      <c r="AN407">
        <v>200677379</v>
      </c>
      <c r="AO407">
        <v>0</v>
      </c>
      <c r="AP407">
        <v>200677379</v>
      </c>
      <c r="AQ407">
        <v>100</v>
      </c>
      <c r="AR407">
        <v>200677379</v>
      </c>
      <c r="AS407">
        <v>0</v>
      </c>
      <c r="AT407">
        <v>200677379</v>
      </c>
      <c r="AU407">
        <v>100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200677379</v>
      </c>
      <c r="BM407">
        <v>0</v>
      </c>
      <c r="BN407">
        <v>200677379</v>
      </c>
      <c r="BO407">
        <v>100</v>
      </c>
      <c r="BP407" t="s">
        <v>1213</v>
      </c>
    </row>
    <row r="408" spans="1:68" x14ac:dyDescent="0.35">
      <c r="A408" t="s">
        <v>1215</v>
      </c>
      <c r="B408">
        <v>74971214.640000001</v>
      </c>
      <c r="C408">
        <v>44171009.700000003</v>
      </c>
      <c r="D408">
        <v>22858158.649999999</v>
      </c>
      <c r="E408">
        <v>67029168.350000001</v>
      </c>
      <c r="F408">
        <v>7942046.29</v>
      </c>
      <c r="G408">
        <v>18786576.719999999</v>
      </c>
      <c r="H408">
        <v>18786576.719999999</v>
      </c>
      <c r="I408">
        <v>0</v>
      </c>
      <c r="J408">
        <v>18786576.719999999</v>
      </c>
      <c r="K408">
        <v>0</v>
      </c>
      <c r="L408">
        <v>56184637.920000002</v>
      </c>
      <c r="M408">
        <v>25384432.98</v>
      </c>
      <c r="N408">
        <v>22858158.649999999</v>
      </c>
      <c r="O408">
        <v>48242591.630000003</v>
      </c>
      <c r="P408">
        <v>7942046.29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74971219.640000001</v>
      </c>
      <c r="AG408">
        <v>44171009.700000003</v>
      </c>
      <c r="AH408">
        <v>22858158.649999999</v>
      </c>
      <c r="AI408">
        <v>67029168.350000001</v>
      </c>
      <c r="AJ408">
        <v>7942051.29</v>
      </c>
      <c r="AK408" t="s">
        <v>1216</v>
      </c>
      <c r="AL408" t="s">
        <v>1217</v>
      </c>
      <c r="AM408" t="s">
        <v>1518</v>
      </c>
      <c r="AN408">
        <v>0</v>
      </c>
      <c r="AO408">
        <v>44171010</v>
      </c>
      <c r="AP408">
        <v>-44171010</v>
      </c>
      <c r="AQ408">
        <v>0</v>
      </c>
      <c r="AR408">
        <v>0</v>
      </c>
      <c r="AS408">
        <v>18786577</v>
      </c>
      <c r="AT408">
        <v>-18786577</v>
      </c>
      <c r="AU408">
        <v>0</v>
      </c>
      <c r="AV408">
        <v>0</v>
      </c>
      <c r="AW408">
        <v>25384433</v>
      </c>
      <c r="AX408">
        <v>-25384433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44171010</v>
      </c>
      <c r="BN408">
        <v>-44171010</v>
      </c>
      <c r="BO408">
        <v>0</v>
      </c>
      <c r="BP408" t="s">
        <v>1216</v>
      </c>
    </row>
    <row r="409" spans="1:68" x14ac:dyDescent="0.35">
      <c r="A409" t="s">
        <v>1218</v>
      </c>
      <c r="B409">
        <v>60940573790.169998</v>
      </c>
      <c r="C409">
        <v>45162624530.25</v>
      </c>
      <c r="D409">
        <v>11080131829.219999</v>
      </c>
      <c r="E409">
        <v>56242756359.470001</v>
      </c>
      <c r="F409">
        <v>4697817430.6999998</v>
      </c>
      <c r="G409">
        <v>60940573790.169998</v>
      </c>
      <c r="H409">
        <v>44108945457.18</v>
      </c>
      <c r="I409">
        <v>11079413315.790001</v>
      </c>
      <c r="J409">
        <v>55188358772.970001</v>
      </c>
      <c r="K409">
        <v>5752215017.1999998</v>
      </c>
      <c r="L409">
        <v>0</v>
      </c>
      <c r="M409">
        <v>1053679073.0700001</v>
      </c>
      <c r="N409">
        <v>718513.43</v>
      </c>
      <c r="O409">
        <v>1054397586.5</v>
      </c>
      <c r="P409">
        <v>-1054397586.5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60940573946.330002</v>
      </c>
      <c r="AG409">
        <v>45162624530.25</v>
      </c>
      <c r="AH409">
        <v>11080131829.219999</v>
      </c>
      <c r="AI409">
        <v>56242756359.470001</v>
      </c>
      <c r="AJ409">
        <v>4697817586.8599997</v>
      </c>
      <c r="AK409" t="s">
        <v>1219</v>
      </c>
      <c r="AL409" t="s">
        <v>1220</v>
      </c>
      <c r="AM409" t="s">
        <v>1519</v>
      </c>
      <c r="AN409">
        <v>0</v>
      </c>
      <c r="AO409">
        <v>45162624530</v>
      </c>
      <c r="AP409">
        <v>-45162624530</v>
      </c>
      <c r="AQ409">
        <v>0</v>
      </c>
      <c r="AR409">
        <v>0</v>
      </c>
      <c r="AS409">
        <v>44108945457</v>
      </c>
      <c r="AT409">
        <v>-44108945457</v>
      </c>
      <c r="AU409">
        <v>0</v>
      </c>
      <c r="AV409">
        <v>0</v>
      </c>
      <c r="AW409">
        <v>1053679073</v>
      </c>
      <c r="AX409">
        <v>-1053679073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45162624530</v>
      </c>
      <c r="BN409">
        <v>-45162624530</v>
      </c>
      <c r="BO409">
        <v>0</v>
      </c>
      <c r="BP409" t="s">
        <v>1219</v>
      </c>
    </row>
    <row r="410" spans="1:68" x14ac:dyDescent="0.35">
      <c r="A410" t="s">
        <v>1221</v>
      </c>
      <c r="B410">
        <v>65043912350</v>
      </c>
      <c r="C410">
        <v>41005513445.93</v>
      </c>
      <c r="D410">
        <v>14029285853.75</v>
      </c>
      <c r="E410">
        <v>55034799299.68</v>
      </c>
      <c r="F410">
        <v>10009113050.32</v>
      </c>
      <c r="G410">
        <v>19229029418.380001</v>
      </c>
      <c r="H410">
        <v>18437937192.959999</v>
      </c>
      <c r="I410">
        <v>269782169.47000003</v>
      </c>
      <c r="J410">
        <v>18707719362.43</v>
      </c>
      <c r="K410">
        <v>521310055.94999999</v>
      </c>
      <c r="L410">
        <v>45814882931.620003</v>
      </c>
      <c r="M410">
        <v>22567576252.970001</v>
      </c>
      <c r="N410">
        <v>12976617562.83</v>
      </c>
      <c r="O410">
        <v>35544193815.800003</v>
      </c>
      <c r="P410">
        <v>10270689115.82</v>
      </c>
      <c r="Q410">
        <v>0</v>
      </c>
      <c r="R410">
        <v>0</v>
      </c>
      <c r="S410">
        <v>759333208.79999995</v>
      </c>
      <c r="T410">
        <v>759333208.79999995</v>
      </c>
      <c r="U410">
        <v>-759333208.79999995</v>
      </c>
      <c r="V410">
        <v>0</v>
      </c>
      <c r="W410">
        <v>0</v>
      </c>
      <c r="X410">
        <v>23552912.649999999</v>
      </c>
      <c r="Y410">
        <v>23552912.649999999</v>
      </c>
      <c r="Z410">
        <v>-23552912.649999999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65043912350</v>
      </c>
      <c r="AG410">
        <v>41005513445.93</v>
      </c>
      <c r="AH410">
        <v>14029285853.75</v>
      </c>
      <c r="AI410">
        <v>55034799299.68</v>
      </c>
      <c r="AJ410">
        <v>10009113050.32</v>
      </c>
      <c r="AK410" t="s">
        <v>1219</v>
      </c>
      <c r="AL410" t="s">
        <v>1222</v>
      </c>
      <c r="AM410" t="s">
        <v>1520</v>
      </c>
      <c r="AN410">
        <v>0</v>
      </c>
      <c r="AO410">
        <v>41005513446</v>
      </c>
      <c r="AP410">
        <v>-41005513446</v>
      </c>
      <c r="AQ410">
        <v>0</v>
      </c>
      <c r="AR410">
        <v>0</v>
      </c>
      <c r="AS410">
        <v>18437937193</v>
      </c>
      <c r="AT410">
        <v>-18437937193</v>
      </c>
      <c r="AU410">
        <v>0</v>
      </c>
      <c r="AV410">
        <v>0</v>
      </c>
      <c r="AW410">
        <v>22567576253</v>
      </c>
      <c r="AX410">
        <v>-22567576253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41005513446</v>
      </c>
      <c r="BN410">
        <v>-41005513446</v>
      </c>
      <c r="BO410">
        <v>0</v>
      </c>
      <c r="BP410" t="s">
        <v>1219</v>
      </c>
    </row>
    <row r="411" spans="1:68" x14ac:dyDescent="0.35">
      <c r="A411" t="s">
        <v>1223</v>
      </c>
      <c r="B411">
        <v>1932643000</v>
      </c>
      <c r="C411">
        <v>66072063.979999997</v>
      </c>
      <c r="D411">
        <v>180095236.06999999</v>
      </c>
      <c r="E411">
        <v>246167300.05000001</v>
      </c>
      <c r="F411">
        <v>1686475699.95</v>
      </c>
      <c r="G411">
        <v>55708496</v>
      </c>
      <c r="H411">
        <v>55708496</v>
      </c>
      <c r="I411">
        <v>4759314</v>
      </c>
      <c r="J411">
        <v>60467810</v>
      </c>
      <c r="K411">
        <v>-4759314</v>
      </c>
      <c r="L411">
        <v>1876934504</v>
      </c>
      <c r="M411">
        <v>10363567.98</v>
      </c>
      <c r="N411">
        <v>4623122</v>
      </c>
      <c r="O411">
        <v>14986689.98</v>
      </c>
      <c r="P411">
        <v>1861947814.02</v>
      </c>
      <c r="Q411">
        <v>0</v>
      </c>
      <c r="R411">
        <v>0</v>
      </c>
      <c r="S411">
        <v>170712800.06999999</v>
      </c>
      <c r="T411">
        <v>170712800.06999999</v>
      </c>
      <c r="U411">
        <v>-170712800.06999999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1932643000</v>
      </c>
      <c r="AG411">
        <v>66072063.979999997</v>
      </c>
      <c r="AH411">
        <v>180095236.06999999</v>
      </c>
      <c r="AI411">
        <v>246167300.05000001</v>
      </c>
      <c r="AJ411">
        <v>1686475699.95</v>
      </c>
      <c r="AK411" t="s">
        <v>1224</v>
      </c>
      <c r="AL411" t="s">
        <v>1225</v>
      </c>
      <c r="AM411" t="s">
        <v>1521</v>
      </c>
      <c r="AN411">
        <v>438500000</v>
      </c>
      <c r="AO411">
        <v>66072064</v>
      </c>
      <c r="AP411">
        <v>372427936</v>
      </c>
      <c r="AQ411">
        <v>84.9</v>
      </c>
      <c r="AR411">
        <v>432600000</v>
      </c>
      <c r="AS411">
        <v>55708496</v>
      </c>
      <c r="AT411">
        <v>376891504</v>
      </c>
      <c r="AU411">
        <v>87.1</v>
      </c>
      <c r="AV411">
        <v>5900000</v>
      </c>
      <c r="AW411">
        <v>10363568</v>
      </c>
      <c r="AX411">
        <v>-4463568</v>
      </c>
      <c r="AY411">
        <v>-75.7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432600000</v>
      </c>
      <c r="BM411">
        <v>66072064</v>
      </c>
      <c r="BN411">
        <v>366527936</v>
      </c>
      <c r="BO411">
        <v>84.7</v>
      </c>
      <c r="BP411" t="s">
        <v>1224</v>
      </c>
    </row>
    <row r="412" spans="1:68" x14ac:dyDescent="0.35">
      <c r="A412" t="s">
        <v>1226</v>
      </c>
      <c r="B412">
        <v>453345000</v>
      </c>
      <c r="C412">
        <v>0</v>
      </c>
      <c r="D412">
        <v>0</v>
      </c>
      <c r="E412">
        <v>0</v>
      </c>
      <c r="F412">
        <v>453345000</v>
      </c>
      <c r="G412">
        <v>453345000</v>
      </c>
      <c r="H412">
        <v>0</v>
      </c>
      <c r="I412">
        <v>0</v>
      </c>
      <c r="J412">
        <v>0</v>
      </c>
      <c r="K412">
        <v>453345000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453345000</v>
      </c>
      <c r="AG412">
        <v>0</v>
      </c>
      <c r="AH412">
        <v>0</v>
      </c>
      <c r="AI412">
        <v>0</v>
      </c>
      <c r="AJ412">
        <v>453345000</v>
      </c>
      <c r="AK412" t="s">
        <v>1227</v>
      </c>
      <c r="AL412" t="s">
        <v>1228</v>
      </c>
      <c r="AM412" t="s">
        <v>1522</v>
      </c>
      <c r="AN412">
        <v>1771976000</v>
      </c>
      <c r="AO412">
        <v>0</v>
      </c>
      <c r="AP412">
        <v>1771976000</v>
      </c>
      <c r="AQ412">
        <v>100</v>
      </c>
      <c r="AR412">
        <v>1771976000</v>
      </c>
      <c r="AS412">
        <v>0</v>
      </c>
      <c r="AT412">
        <v>1771976000</v>
      </c>
      <c r="AU412">
        <v>100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885988000</v>
      </c>
      <c r="BM412">
        <v>0</v>
      </c>
      <c r="BN412">
        <v>885988000</v>
      </c>
      <c r="BO412">
        <v>100</v>
      </c>
      <c r="BP412" t="s">
        <v>1227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abSelected="1" workbookViewId="0">
      <selection activeCell="I13" sqref="I13"/>
    </sheetView>
  </sheetViews>
  <sheetFormatPr defaultRowHeight="14.5" x14ac:dyDescent="0.35"/>
  <cols>
    <col min="1" max="1" width="12.90625" bestFit="1" customWidth="1"/>
    <col min="2" max="2" width="17" bestFit="1" customWidth="1"/>
    <col min="3" max="8" width="20.6328125" customWidth="1"/>
  </cols>
  <sheetData>
    <row r="1" spans="1:8" ht="18.5" x14ac:dyDescent="0.45">
      <c r="A1" s="17" t="s">
        <v>1541</v>
      </c>
      <c r="B1" s="18" t="s">
        <v>271</v>
      </c>
      <c r="C1" s="2">
        <f>MATCH(B1,Budget!AL3:AL411,0)</f>
        <v>86</v>
      </c>
      <c r="D1" s="21" t="str" cm="1">
        <f t="array" ref="D1">INDEX(Budget!$A$3:$AJ$411,$C$1,1)</f>
        <v>6*  TPS-II Non Plan CAPE PRJ NL-N-TS2-001</v>
      </c>
      <c r="E1" s="22" cm="1">
        <f t="array" ref="E1">INDEX(Budget!$B$3:$AJ$411,$C$1,$C$2)</f>
        <v>25642573.379999999</v>
      </c>
      <c r="F1" s="22" cm="1">
        <f t="array" ref="F1">INDEX(Budget!$B$3:$AJ$411,$C$1,$C$2)</f>
        <v>25642573.379999999</v>
      </c>
      <c r="G1" s="22" cm="1">
        <f t="array" ref="G1">INDEX(Budget!$B$3:$AJ$411,$C$1,$C$2)</f>
        <v>25642573.379999999</v>
      </c>
      <c r="H1" s="22" cm="1">
        <f t="array" ref="H1">INDEX(Budget!$B$3:$AJ$411,$C$1,$C$2)</f>
        <v>25642573.379999999</v>
      </c>
    </row>
    <row r="2" spans="1:8" ht="18.5" x14ac:dyDescent="0.45">
      <c r="A2" s="17" t="s">
        <v>1542</v>
      </c>
      <c r="B2" s="18" t="s">
        <v>0</v>
      </c>
      <c r="C2" s="2">
        <f>MATCH($B$2,Budget!$B$1:$AF$1,0)</f>
        <v>1</v>
      </c>
    </row>
    <row r="3" spans="1:8" ht="18.5" x14ac:dyDescent="0.45">
      <c r="C3" s="20" t="s">
        <v>1229</v>
      </c>
      <c r="D3" s="20" t="s">
        <v>10</v>
      </c>
      <c r="E3" s="20" t="s">
        <v>11</v>
      </c>
      <c r="F3" s="20" t="s">
        <v>12</v>
      </c>
      <c r="G3" s="20" t="s">
        <v>13</v>
      </c>
      <c r="H3" s="20" t="s">
        <v>14</v>
      </c>
    </row>
    <row r="4" spans="1:8" x14ac:dyDescent="0.35">
      <c r="C4" s="19" cm="1">
        <f t="array" ref="C4">INDEX(Budget!$AM$3:$AS$411,$C$1,INT($C$2/5)+1)</f>
        <v>94100006</v>
      </c>
      <c r="D4" s="19" cm="1">
        <f t="array" ref="D4">INDEX(Budget!$B$3:$AJ$411,$C$1,$C$2)</f>
        <v>25642573.379999999</v>
      </c>
      <c r="E4" s="19" cm="1">
        <f t="array" ref="E4">INDEX(Budget!$B$3:$AJ$411,$C$1,$C$2+1)</f>
        <v>14376988.279999999</v>
      </c>
      <c r="F4" s="19" cm="1">
        <f t="array" ref="F4">INDEX(Budget!$B$3:$AJ$411,$C$1,$C$2+2)</f>
        <v>5575827.29</v>
      </c>
      <c r="G4" s="19" cm="1">
        <f t="array" ref="G4">INDEX(Budget!$B$3:$AJ$411,$C$1,$C$2+3)</f>
        <v>19952815.57</v>
      </c>
      <c r="H4" s="19" cm="1">
        <f t="array" ref="H4">INDEX(Budget!$B$3:$AJ$411,$C$1,$C$2+4)</f>
        <v>5689757.8099999996</v>
      </c>
    </row>
  </sheetData>
  <mergeCells count="1">
    <mergeCell ref="D1:H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promptTitle="Project ID" prompt="Select the Project ID to analyse_x000a_" xr:uid="{00000000-0002-0000-0300-000000000000}">
          <x14:formula1>
            <xm:f>Budget!$AL$3:$AL$411</xm:f>
          </x14:formula1>
          <xm:sqref>B1</xm:sqref>
        </x14:dataValidation>
        <x14:dataValidation type="list" allowBlank="1" showInputMessage="1" promptTitle=" Years" prompt="Select the Years range" xr:uid="{00000000-0002-0000-0300-000001000000}">
          <x14:formula1>
            <xm:f>Budget!A420:A426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Actual</vt:lpstr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Varatha Rajan</cp:lastModifiedBy>
  <dcterms:created xsi:type="dcterms:W3CDTF">2025-03-06T11:58:28Z</dcterms:created>
  <dcterms:modified xsi:type="dcterms:W3CDTF">2025-03-12T05:39:37Z</dcterms:modified>
</cp:coreProperties>
</file>